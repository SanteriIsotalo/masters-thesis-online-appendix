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koulu\gradu\"/>
    </mc:Choice>
  </mc:AlternateContent>
  <xr:revisionPtr revIDLastSave="0" documentId="13_ncr:1_{F83BF89E-F73C-4B3A-9C0A-4E0A15E79CEC}" xr6:coauthVersionLast="47" xr6:coauthVersionMax="47" xr10:uidLastSave="{00000000-0000-0000-0000-000000000000}"/>
  <bookViews>
    <workbookView xWindow="-28920" yWindow="-135" windowWidth="29040" windowHeight="15720" xr2:uid="{00000000-000D-0000-FFFF-FFFF00000000}"/>
  </bookViews>
  <sheets>
    <sheet name="combined data" sheetId="5" r:id="rId1"/>
    <sheet name="segment and sectors" sheetId="1" r:id="rId2"/>
    <sheet name="sentiment data" sheetId="2" r:id="rId3"/>
    <sheet name="CDP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2" i="5"/>
</calcChain>
</file>

<file path=xl/sharedStrings.xml><?xml version="1.0" encoding="utf-8"?>
<sst xmlns="http://schemas.openxmlformats.org/spreadsheetml/2006/main" count="2562" uniqueCount="667">
  <si>
    <t>Company name (Nordnet, 2025)</t>
  </si>
  <si>
    <t>Admicom Oyj</t>
  </si>
  <si>
    <t>Administer Oyj</t>
  </si>
  <si>
    <t>Afarak Group SE</t>
  </si>
  <si>
    <t>Aiforia Technologies Oyj</t>
  </si>
  <si>
    <t>Aktia Pankki Oyj</t>
  </si>
  <si>
    <t>Alisa Pankki Oyj</t>
  </si>
  <si>
    <t>Alma Media Corporation</t>
  </si>
  <si>
    <t>Anora Group Plc</t>
  </si>
  <si>
    <t>Apetit Plc</t>
  </si>
  <si>
    <t>AS Tallink Grupp FDR</t>
  </si>
  <si>
    <t>Aspo Plc</t>
  </si>
  <si>
    <t>Aspocomp Group Plc</t>
  </si>
  <si>
    <t>Betolar Oyj</t>
  </si>
  <si>
    <t>Bioretec Oy</t>
  </si>
  <si>
    <t>Bittium Corporation</t>
  </si>
  <si>
    <t>Boreo Oyj</t>
  </si>
  <si>
    <t>CapMan Plc</t>
  </si>
  <si>
    <t>Citycon Oyj</t>
  </si>
  <si>
    <t>Componenta Corporation</t>
  </si>
  <si>
    <t>Consti Plc</t>
  </si>
  <si>
    <t>Detection Technology Oyj</t>
  </si>
  <si>
    <t>Digia Plc</t>
  </si>
  <si>
    <t>Digital Workforce Services Oyj</t>
  </si>
  <si>
    <t>Dovre Group Plc</t>
  </si>
  <si>
    <t>Duell Oyj</t>
  </si>
  <si>
    <t>Eagle Filters Group Plc</t>
  </si>
  <si>
    <t>EcoUp Oyj</t>
  </si>
  <si>
    <t>Eezy Oyj</t>
  </si>
  <si>
    <t>Elisa Corporation</t>
  </si>
  <si>
    <t>Endomines Finland Oyj</t>
  </si>
  <si>
    <t>Enento Group Oyj</t>
  </si>
  <si>
    <t>Enersense International Oyj</t>
  </si>
  <si>
    <t>eQ Oyj</t>
  </si>
  <si>
    <t>Etteplan Oyj</t>
  </si>
  <si>
    <t>Evli Oyj</t>
  </si>
  <si>
    <t>Exel Composites Plc</t>
  </si>
  <si>
    <t>F-Secure Oyj</t>
  </si>
  <si>
    <t>Faron Pharmaceuticals Oy</t>
  </si>
  <si>
    <t>Finnair Oyj</t>
  </si>
  <si>
    <t>Foamit Oyj</t>
  </si>
  <si>
    <t>Fodelia Oyj</t>
  </si>
  <si>
    <t>Fondia Oyj</t>
  </si>
  <si>
    <t>Fortum Corporation</t>
  </si>
  <si>
    <t>Glaston Corporation</t>
  </si>
  <si>
    <t>Gofore Plc</t>
  </si>
  <si>
    <t>GRK Infra Plc</t>
  </si>
  <si>
    <t>Harvia Plc</t>
  </si>
  <si>
    <t>Herantis Pharma Oyj</t>
  </si>
  <si>
    <t>Hiab Oyj</t>
  </si>
  <si>
    <t>HKFoods Oyj A</t>
  </si>
  <si>
    <t>Honkarakenne Oyj B</t>
  </si>
  <si>
    <t>Huhtamäki Oyj</t>
  </si>
  <si>
    <t>Incap Corporation</t>
  </si>
  <si>
    <t>Inderes Oyj</t>
  </si>
  <si>
    <t>Kalmar Oyj B</t>
  </si>
  <si>
    <t>Kamux Corporation</t>
  </si>
  <si>
    <t>Kemira Oyj</t>
  </si>
  <si>
    <t>Kempower Oyj</t>
  </si>
  <si>
    <t>Kesko Corporation A</t>
  </si>
  <si>
    <t>KH Group Plc</t>
  </si>
  <si>
    <t>Kojamo Plc</t>
  </si>
  <si>
    <t>Konecranes Plc</t>
  </si>
  <si>
    <t>Koskisen Oyj</t>
  </si>
  <si>
    <t>Kreate Group Plc</t>
  </si>
  <si>
    <t>Lamor Corporation Oyj</t>
  </si>
  <si>
    <t>LapWall Oyj</t>
  </si>
  <si>
    <t>LeadDesk Oyj</t>
  </si>
  <si>
    <t>Lemonsoft Oyj</t>
  </si>
  <si>
    <t>Lindex Group Oyj</t>
  </si>
  <si>
    <t>Loihde Oyj</t>
  </si>
  <si>
    <t>Mandatum Oyj</t>
  </si>
  <si>
    <t>Marimekko Corporation</t>
  </si>
  <si>
    <t>Martela Oyj A</t>
  </si>
  <si>
    <t>Merus Power Oyj</t>
  </si>
  <si>
    <t>Metso Oyj</t>
  </si>
  <si>
    <t>Metsä Board Oyj A</t>
  </si>
  <si>
    <t>Modulight Oyj</t>
  </si>
  <si>
    <t>Musti Group Plc</t>
  </si>
  <si>
    <t>Nanoform Finland Oyj</t>
  </si>
  <si>
    <t>Neste Corporation</t>
  </si>
  <si>
    <t>Netum Group Oyj</t>
  </si>
  <si>
    <t>Nexstim Oyj</t>
  </si>
  <si>
    <t>Nightingale Health Oyj B</t>
  </si>
  <si>
    <t>NoHo Partners Oyj</t>
  </si>
  <si>
    <t>Nokia Corporation</t>
  </si>
  <si>
    <t>Nokian Tyres Plc</t>
  </si>
  <si>
    <t>Nordea Bank Abp</t>
  </si>
  <si>
    <t>Norrhydro Group Oyj</t>
  </si>
  <si>
    <t>Nurminen Logistics Plc</t>
  </si>
  <si>
    <t>Oma Säästöpankki Oyj</t>
  </si>
  <si>
    <t>Optomed Plc</t>
  </si>
  <si>
    <t>Oriola Corporation</t>
  </si>
  <si>
    <t>Orthex Plc</t>
  </si>
  <si>
    <t>Outokumpu Oyj</t>
  </si>
  <si>
    <t>Panostaja Oyj</t>
  </si>
  <si>
    <t>Pihlajalinna Oyj</t>
  </si>
  <si>
    <t>Ponsse Oyj 1</t>
  </si>
  <si>
    <t>Posti Group Oyj</t>
  </si>
  <si>
    <t>Puuilo Plc</t>
  </si>
  <si>
    <t>QPR Software Plc</t>
  </si>
  <si>
    <t>Qt Group Oyj</t>
  </si>
  <si>
    <t>Raisio Plc K</t>
  </si>
  <si>
    <t>Rapala VMC Corporation</t>
  </si>
  <si>
    <t>Raute Corporation</t>
  </si>
  <si>
    <t>Relais Group Oyj</t>
  </si>
  <si>
    <t>Remedy Entertainment Oyj</t>
  </si>
  <si>
    <t>Revenio Group Corporation</t>
  </si>
  <si>
    <t>Robit Oyj</t>
  </si>
  <si>
    <t>Sampo Plc A</t>
  </si>
  <si>
    <t>Sanoma Corporation</t>
  </si>
  <si>
    <t>Scanfil Plc</t>
  </si>
  <si>
    <t>Siili Solutions Oyj</t>
  </si>
  <si>
    <t>Sitowise Group Plc</t>
  </si>
  <si>
    <t>Solar Foods Oyj</t>
  </si>
  <si>
    <t>Solteq Oyj</t>
  </si>
  <si>
    <t>Solwers Oyj</t>
  </si>
  <si>
    <t>Sotkamo Silver AB</t>
  </si>
  <si>
    <t>Spinnova Oyj</t>
  </si>
  <si>
    <t>Springvest Oyj</t>
  </si>
  <si>
    <t>SRV Group Plc</t>
  </si>
  <si>
    <t>SSAB AB ser. A</t>
  </si>
  <si>
    <t>Stora Enso Oyj A</t>
  </si>
  <si>
    <t>Summa Defence Oyj</t>
  </si>
  <si>
    <t>Sunborn International Plc</t>
  </si>
  <si>
    <t>Suominen Oyj</t>
  </si>
  <si>
    <t>Taaleri Oyj</t>
  </si>
  <si>
    <t>Talenom Oyj</t>
  </si>
  <si>
    <t>Tecnotree Corporation</t>
  </si>
  <si>
    <t>Teleste Corporation</t>
  </si>
  <si>
    <t>Telia Company AB</t>
  </si>
  <si>
    <t>Terveystalo Plc</t>
  </si>
  <si>
    <t>TietoEVRY Corporation</t>
  </si>
  <si>
    <t>Toivo Group Oyj</t>
  </si>
  <si>
    <t>Tokmanni Group Oyj</t>
  </si>
  <si>
    <t>Trainers  House Plc</t>
  </si>
  <si>
    <t>United Bankers Oyj</t>
  </si>
  <si>
    <t>UPM-Kymmene Corporation</t>
  </si>
  <si>
    <t>Vaisala Corporation A</t>
  </si>
  <si>
    <t>Valmet Corporation</t>
  </si>
  <si>
    <t>Verkkokauppa.com Oyj</t>
  </si>
  <si>
    <t>Viafin Service Oyj</t>
  </si>
  <si>
    <t>Viking Line Abp</t>
  </si>
  <si>
    <t>Vincit Oyj</t>
  </si>
  <si>
    <t>Wetteri Oyj</t>
  </si>
  <si>
    <t>WithSecure Corporation</t>
  </si>
  <si>
    <t>Wulff Group Plc</t>
  </si>
  <si>
    <t>Wärtsilä Corporation</t>
  </si>
  <si>
    <t>YIT Corporation</t>
  </si>
  <si>
    <t>CDP 1</t>
  </si>
  <si>
    <t>CDP 2</t>
  </si>
  <si>
    <t>CDP 3</t>
  </si>
  <si>
    <t>CDP 4</t>
  </si>
  <si>
    <t>CDP 5</t>
  </si>
  <si>
    <t>CDP 6</t>
  </si>
  <si>
    <t>CDP 7</t>
  </si>
  <si>
    <t>CDP 8</t>
  </si>
  <si>
    <t>Company</t>
  </si>
  <si>
    <t>Atria Plc</t>
  </si>
  <si>
    <t>Bank of Åland Plc</t>
  </si>
  <si>
    <t>Biohit Oyj</t>
  </si>
  <si>
    <t>Canatu Oyj</t>
  </si>
  <si>
    <t>Elecster Oyj</t>
  </si>
  <si>
    <t>Ericsson Telefonab. L M ser. B</t>
  </si>
  <si>
    <t>Lassila &amp; Tikanoja</t>
  </si>
  <si>
    <t>Olvi Plc</t>
  </si>
  <si>
    <t>SSH Communications Security Oy</t>
  </si>
  <si>
    <t>Trainers House Plc</t>
  </si>
  <si>
    <t>Explanation 1</t>
  </si>
  <si>
    <t>Explanation 2</t>
  </si>
  <si>
    <t>Explanation 3</t>
  </si>
  <si>
    <t>Explanation 4</t>
  </si>
  <si>
    <t>Explanation 5</t>
  </si>
  <si>
    <t>Explanation 6</t>
  </si>
  <si>
    <t>Explanation 7</t>
  </si>
  <si>
    <t>Explanation 8</t>
  </si>
  <si>
    <t>Mentions building strong culture and core value</t>
  </si>
  <si>
    <t>No explicit link between contributions and benefits</t>
  </si>
  <si>
    <t>Nothing about inclusive decision-making</t>
  </si>
  <si>
    <t>Challenges such as. churn mentioned</t>
  </si>
  <si>
    <t>No clear signals of behaviour guidance</t>
  </si>
  <si>
    <t>No special conflicts mentioned</t>
  </si>
  <si>
    <t>No explicit reference to internal governance structures or self-regulatory practices</t>
  </si>
  <si>
    <t>Highlights importance of partnerships</t>
  </si>
  <si>
    <t>Contributions: degrees, development of expertise. Benefits partly, such as employee satisfaction and leadership development</t>
  </si>
  <si>
    <t>Leadership survey signals not solely top-down leading</t>
  </si>
  <si>
    <t>Challenges and dissatisfaction shown</t>
  </si>
  <si>
    <t>"Responsible partner", thanks stakeholdersm highlights customers and employees</t>
  </si>
  <si>
    <t>Indicates top-down decision-making</t>
  </si>
  <si>
    <t>Challenges are explicitly mentioned</t>
  </si>
  <si>
    <t>Communication focuses on competition instead of collaboration</t>
  </si>
  <si>
    <t>Has mission, targets, achievements made together</t>
  </si>
  <si>
    <t>The text is mainly praising positive activities</t>
  </si>
  <si>
    <t>Refined targets and clear mission</t>
  </si>
  <si>
    <t>Increase in employee satisfaction, but no explicit link between contributions and benefits</t>
  </si>
  <si>
    <t>Internal surveys mentioned, but not as a clear connection to decision-making</t>
  </si>
  <si>
    <t>Challenges such as sluggish housing market mentioned</t>
  </si>
  <si>
    <t>Highlights partnerships, customers, employees</t>
  </si>
  <si>
    <t>Staff has been key part in change, benefit is a successful personnel issue</t>
  </si>
  <si>
    <t>Challenges such as falling short of forecasts</t>
  </si>
  <si>
    <t>Highlights BaaS partners, customers, employees</t>
  </si>
  <si>
    <t>Highlights employee satisfaction, but doesn't really communicate anything about contribution/benefits</t>
  </si>
  <si>
    <t>A lot of numbers, challenges, etc. mentioned</t>
  </si>
  <si>
    <t>Mutual value creation through platform integration</t>
  </si>
  <si>
    <t>Mentions lower volumes and declines</t>
  </si>
  <si>
    <t>Just a classic thanks to all stakeholders, no description of collaborations or mutual value creation</t>
  </si>
  <si>
    <t>Though mainly praising positivity, some challenges also mentioned</t>
  </si>
  <si>
    <t>Collaborations like RypsiRapsi-forum, Räpi farm, EU co-funded projects, cooperation with farmers etc.</t>
  </si>
  <si>
    <t>Mentions multiple challenges</t>
  </si>
  <si>
    <t>Stakeholders thanked, but no specific collaboration or mutual value-creation described</t>
  </si>
  <si>
    <t>Mentions difficulties especially with Leipurin</t>
  </si>
  <si>
    <t>Importance of partnerships like OP Infra and Varma, Investing in ESL Shipping, acquisitions</t>
  </si>
  <si>
    <t>No clear purpose, more of an unspecific goal</t>
  </si>
  <si>
    <t>Mentions challenging year</t>
  </si>
  <si>
    <t>Importance of partnerships, such as a three-year agreement</t>
  </si>
  <si>
    <t>Clear mission "Becoming the Winning Nothern European Food Company"</t>
  </si>
  <si>
    <t>Wellbeing investments mentioned, but no explicit link between contributions and benefits</t>
  </si>
  <si>
    <t>Employees closely involved in innovation and finding new perspectives</t>
  </si>
  <si>
    <t>Mentions volatile outlook and challenges</t>
  </si>
  <si>
    <t>Highlights relationships to customers, local brands, calculator with Valio, etc.</t>
  </si>
  <si>
    <t>Mentions required expertise, but nothing about the benefits for this contribution</t>
  </si>
  <si>
    <t>Addresses multiple challenges</t>
  </si>
  <si>
    <t xml:space="preserve">Highlights customer relationships, EU-compliant sustainability, multiple partners with Borgo etc. </t>
  </si>
  <si>
    <t>Addresses the challenges faced</t>
  </si>
  <si>
    <t>Relationships highlighted through signing several memoranda of understanding</t>
  </si>
  <si>
    <t>Addresses multiple challenges so true, though some weird phrases like "behind veil of business secrets" and "if you don't hear from us"</t>
  </si>
  <si>
    <t>Collaborations through Restalyst, sales channels through RestaGroup's etc.</t>
  </si>
  <si>
    <t>No explicit link between contributions and benefits, though shares were issued but not explicitly to those contributing</t>
  </si>
  <si>
    <t>Mentions delayed market approvals and a slight dip in sales margin</t>
  </si>
  <si>
    <t>Mentions signing important cooperation agreements</t>
  </si>
  <si>
    <t>Challenges such as net sales down</t>
  </si>
  <si>
    <t>Partnership agreement made for 11 years, cooperation with new partners</t>
  </si>
  <si>
    <t>Year was the most challenging</t>
  </si>
  <si>
    <t>Nothing about cooperation and partnerships mentioned, only acquiring other businesses</t>
  </si>
  <si>
    <t>No clear signalling of vision, core values, strategy or mission</t>
  </si>
  <si>
    <t>No clear challenges, but this isn't just positive praising, it's more neutral with small hints of challenges with automotive and medical diagnosis</t>
  </si>
  <si>
    <t>"screening of opporutnities in collaboration with partners…"</t>
  </si>
  <si>
    <t>Sustainability metrics are linked to long-term share-based incentives if targets are achieved</t>
  </si>
  <si>
    <t>Addresses times of uncertainty</t>
  </si>
  <si>
    <t>"sustainability metrics as part of variable remuneration" and share-based incentives</t>
  </si>
  <si>
    <t>Mentions that they want to show leadership in sustainability, also "CapMan's Sustainability-Linked Bond Framework"</t>
  </si>
  <si>
    <t>Mentions how sustainability is worked together with the stakeholders to help them transform</t>
  </si>
  <si>
    <t>"necessity-based strategy" and "creating mixed-use urban hubs"</t>
  </si>
  <si>
    <t>Mentions the decentralization to country level, but that is for cost-reduction, not a bottom-up mechanism</t>
  </si>
  <si>
    <t>Dividend payments suspended, assets decreased, cost-cutting etc. Mentioned</t>
  </si>
  <si>
    <t>While other companies are mentioned, in this case they are tenants, not sharing mutual values</t>
  </si>
  <si>
    <t>Mentions challenges such as weak first quarter</t>
  </si>
  <si>
    <t>Challenged such as targets not met, weak market situation etc.</t>
  </si>
  <si>
    <t>Nothing about cooperation and partnerships, only the basic thank you</t>
  </si>
  <si>
    <t>Challenged such as geopolitical tenstios, China's healthcare reform etc.</t>
  </si>
  <si>
    <t>"Unlock your intelligence" strategy</t>
  </si>
  <si>
    <t>Challenging operating environment</t>
  </si>
  <si>
    <t>Strategy emphasises customer partnerships</t>
  </si>
  <si>
    <t>Clear different strategy cornerstones</t>
  </si>
  <si>
    <t>Positively praising, not a single challenge mentioned besides the common phenomenon of "challening market environment"</t>
  </si>
  <si>
    <t>While the customers are described as "continuous services" showing importance, no mutual benefits or collaborations specifically</t>
  </si>
  <si>
    <t>Group transformation has given clear focus</t>
  </si>
  <si>
    <t>Difficulties that resulted in significant losses</t>
  </si>
  <si>
    <t>comprehensive rewiew and restructuring are more corrections than guidance in this case</t>
  </si>
  <si>
    <t>While there are mentions of Swedish and Finnish projects, they are only failed projects with substantial losses, not highlighting collaboration</t>
  </si>
  <si>
    <t>Lower demand for parts and accessories</t>
  </si>
  <si>
    <t>Group's Code of Conduct and whistleblowing channel introduced, shows self-regulatory governance</t>
  </si>
  <si>
    <t>Mentions challenges such as failing targets</t>
  </si>
  <si>
    <t>Nothing about cooperation and partnerships, only mentiones securing loan with Finnvera which is not really mutual benefit or collaboration</t>
  </si>
  <si>
    <t>Mentions volume challenges</t>
  </si>
  <si>
    <t>Shows numerically how the year went, express dissatisfaction</t>
  </si>
  <si>
    <t>Mentions outsourcing to partners, but in this case it is a cost-cutting measure not mutual value-creation collaboration</t>
  </si>
  <si>
    <t>Mentions challenges and targets not achieved</t>
  </si>
  <si>
    <t>"Together we have updated our values" implies at least some sort of collaborative process</t>
  </si>
  <si>
    <t>The combination of commitment to UN Global Compact and setting age recommendation indicates self-regulatory</t>
  </si>
  <si>
    <t>Mentions multiple collaborations, such as Mannerheim League for Child Welfare, Nokia, TrafiCom</t>
  </si>
  <si>
    <t>Mainly positive but also mentions challenges like global geopolitical uncertainty</t>
  </si>
  <si>
    <t>Nature surveys and environmental impact assesment programs are a necessity, not really self-regulatory practice</t>
  </si>
  <si>
    <t>Mentions challenges like weakened demand</t>
  </si>
  <si>
    <t>Mentions voluntarily made sustainabilty report  but only as a reference op ESRS</t>
  </si>
  <si>
    <t>Cooperation with Finnish government for example</t>
  </si>
  <si>
    <t>Word_Count</t>
  </si>
  <si>
    <t>Segment</t>
  </si>
  <si>
    <t>Sector</t>
  </si>
  <si>
    <t>Small Cap</t>
  </si>
  <si>
    <t>Basic Materials</t>
  </si>
  <si>
    <t>Financials</t>
  </si>
  <si>
    <t>Consumer Staples</t>
  </si>
  <si>
    <t>Technology</t>
  </si>
  <si>
    <t>Health Care</t>
  </si>
  <si>
    <t>Industrials</t>
  </si>
  <si>
    <t>Atria Plc A</t>
  </si>
  <si>
    <t>Bank of Åland Plc A</t>
  </si>
  <si>
    <t>Biohit Oyj B</t>
  </si>
  <si>
    <t>Canatu Oyj A</t>
  </si>
  <si>
    <t>Elecster Oyj A</t>
  </si>
  <si>
    <t>Ericsson, Telefonab. L M ser. B</t>
  </si>
  <si>
    <t>Lassila &amp; Tikanoja Plc</t>
  </si>
  <si>
    <t>Olvi Plc A</t>
  </si>
  <si>
    <t>SSH Communications Security Oyj</t>
  </si>
  <si>
    <t>Consumer Discretionary</t>
  </si>
  <si>
    <t>Real Estate</t>
  </si>
  <si>
    <t>Utilities</t>
  </si>
  <si>
    <t>Telecommunications</t>
  </si>
  <si>
    <t>Mid Cap</t>
  </si>
  <si>
    <t>First North GM</t>
  </si>
  <si>
    <t>Large Cap</t>
  </si>
  <si>
    <t>Energy</t>
  </si>
  <si>
    <t>First North Premier GM</t>
  </si>
  <si>
    <t>Negative%</t>
  </si>
  <si>
    <t>Positive%</t>
  </si>
  <si>
    <t>Uncertainty%</t>
  </si>
  <si>
    <t>Litigious%</t>
  </si>
  <si>
    <t>Strong_Modal%</t>
  </si>
  <si>
    <t>Weak_Modal%</t>
  </si>
  <si>
    <t>Constraining%</t>
  </si>
  <si>
    <t>No explicit signals of shared purpose or specific mission</t>
  </si>
  <si>
    <t>No clear mission, more of a basic strategy plan</t>
  </si>
  <si>
    <t>"Growing and profitable market leader in plant-based products"</t>
  </si>
  <si>
    <t>"We deliver a large bank's range of services with a smaller bank's thoughtfulness and good sense"</t>
  </si>
  <si>
    <t>Mentions mission (though it's not really revealed), but still explicitly mentioned</t>
  </si>
  <si>
    <t>"Becoming a leader in innovative medical…"</t>
  </si>
  <si>
    <t>"Most responsible private assetcs company in Nordics"</t>
  </si>
  <si>
    <t>ISO-certifications could be seen as self-regulatory practices, but they come from a third party so false</t>
  </si>
  <si>
    <t>No clear vision, core values, mission, only generic target of growth</t>
  </si>
  <si>
    <t>No clear vision, core values, mission, only generic performance target</t>
  </si>
  <si>
    <t>"Sustainable future through digitalisation"</t>
  </si>
  <si>
    <t>acts responsibly, respects biodiversity, keeps its promises, and treats people well.</t>
  </si>
  <si>
    <t>redefined focus of strategy but no clear mission</t>
  </si>
  <si>
    <t>Significant write-downs</t>
  </si>
  <si>
    <t>"Finland's first green hydrogen plant for P2X solutions" - concrete mutual benefit project</t>
  </si>
  <si>
    <t>No clear vision etc, mainly just a reactions for financials and quality ratings</t>
  </si>
  <si>
    <t>Challenging operating environment, profits fell etc.</t>
  </si>
  <si>
    <t>Clear vision in the heading already</t>
  </si>
  <si>
    <t>Fact-based decisions and readiness for difficult discussions suggests not solely top-down mechanism</t>
  </si>
  <si>
    <t>Challenges, violations etc. Mentioned</t>
  </si>
  <si>
    <t>"No tolerance for corruption, fraud or any other misconduct"</t>
  </si>
  <si>
    <t>Historical violations acknowledged, independent monitor appointed and compliance program certified</t>
  </si>
  <si>
    <t>"we continued our efforts to embed our Ethics and Compliance program throghout the organization…"</t>
  </si>
  <si>
    <t>Mentions importance of partners like Verizon, AT&amp;T, KDDI and AWS to create working networks</t>
  </si>
  <si>
    <t>Renewed brand and value launched</t>
  </si>
  <si>
    <t>Uncertainty, challenging environment, profitability fell, etc.</t>
  </si>
  <si>
    <t>"Become the leading asset management company in the Nordics"</t>
  </si>
  <si>
    <t>Turbulence, geopolitacal fragmentation, economy etc.</t>
  </si>
  <si>
    <t>While ESG-investing is mentioned, it is more of a product that is sold instead of self-regulatory practice</t>
  </si>
  <si>
    <t>"Growth from strategic partnership"</t>
  </si>
  <si>
    <t>"extensive consultations with employee representives", is probably a legal process but top-down in the end</t>
  </si>
  <si>
    <t>Mentions difficult decisions that could not be avoided, such as closing a factory</t>
  </si>
  <si>
    <t>IATF 16494 comes from third party, so not really self-regulatory</t>
  </si>
  <si>
    <t>Highlights importance of different partnerships</t>
  </si>
  <si>
    <t>"Vision to become #1 in consumer security…"</t>
  </si>
  <si>
    <t>"change negotiations" mentioned, but that is usually just top-down decision</t>
  </si>
  <si>
    <t>mainly positive but also explicitly describes challenges such as transformation and change negotiations</t>
  </si>
  <si>
    <t>ISO 27001 from third party</t>
  </si>
  <si>
    <t>global key partners</t>
  </si>
  <si>
    <t>"bring life-changing immunotherapies to patients"</t>
  </si>
  <si>
    <t>Positive throughout, not a single failure, risk, challenge etc.</t>
  </si>
  <si>
    <t>"safe and high-quality airline, trusted partner"</t>
  </si>
  <si>
    <t>Personnel play a key role -&gt; developments where personnel raise issues</t>
  </si>
  <si>
    <t>A tool to hear views on personnel which then highlight development areas</t>
  </si>
  <si>
    <t>Decreased revenue mentioned</t>
  </si>
  <si>
    <t>Sbti is a third party regulatory</t>
  </si>
  <si>
    <t>Partnership with Qantas</t>
  </si>
  <si>
    <t>"Our mission is to increase shareholder value and build a sustainable future"</t>
  </si>
  <si>
    <t>Decreased sales due to KPA bankruptcy</t>
  </si>
  <si>
    <t>while there is a survey and new intranet, it doesn't explicitly say that this would be used for fair decisions</t>
  </si>
  <si>
    <t>2.3million negative profit impact mentioned</t>
  </si>
  <si>
    <t>Nothing about the importance of partnerships and cooperation</t>
  </si>
  <si>
    <t>eNPS decreased so much that "we worked with our employees and customers in the strategy work"</t>
  </si>
  <si>
    <t>Mentions difficulties such as sales decreased</t>
  </si>
  <si>
    <t>Mainly strategic plan, but also "We strive to power a world where people, businesses and nature thrive together"</t>
  </si>
  <si>
    <t>mentions falling short of targets</t>
  </si>
  <si>
    <t>Agreements with Helen and plans with Norsk e-Fuel</t>
  </si>
  <si>
    <t>"inclusive work environment" in this case means more equality and being a group instead of decisions</t>
  </si>
  <si>
    <t>Order intake lower, challenging market etc</t>
  </si>
  <si>
    <t>Nothing about the importance of partnerships and cooperation (with other groups, own factories are mentioned)</t>
  </si>
  <si>
    <t>Addressess difficulties like competition and lower sales</t>
  </si>
  <si>
    <t>Addresses difficulties like fatal accident</t>
  </si>
  <si>
    <t>Some sustainability metrics but those are not meant as self-regulatory practices here</t>
  </si>
  <si>
    <t>Mentions multiple collaborations like Stegra AB plant site and Rail Baltica etc</t>
  </si>
  <si>
    <t>"Shaping the global sauna market so that everyone has a reason to experience sauna"</t>
  </si>
  <si>
    <t>Challenging market</t>
  </si>
  <si>
    <t>While it can be interpreted that the goal is to beat parkinson, there is no explicit signalling for this mission</t>
  </si>
  <si>
    <t>Basically just talking about the HER-096 and it's positivities, so FALSE according to the criteria</t>
  </si>
  <si>
    <t>Collaboration with organizations that finance the HER-096 and with dozens of pharmaceutical companies</t>
  </si>
  <si>
    <t>"dare to care" program is not about decision-making, it's about safety</t>
  </si>
  <si>
    <t>Challengin market environment, interest rates and uncertainty, order book declined</t>
  </si>
  <si>
    <t>Mentions vision of "the most valued partner of food moments"</t>
  </si>
  <si>
    <t>Mentions that EBIT was short of target</t>
  </si>
  <si>
    <t>"collaborative effort with customers, consumers, contract farmers and other company partners"</t>
  </si>
  <si>
    <t>Significant decrease in profit and sales</t>
  </si>
  <si>
    <t>Nothing about the importance of partnerships and cooperation, financing from ELY center isn't considered collaboration here</t>
  </si>
  <si>
    <t>Difficulties like middle east conflict</t>
  </si>
  <si>
    <t>Nothing about the importance of partnerships and cooperation, "focusing on competitiveness", basic thank you</t>
  </si>
  <si>
    <t>Mainly just positivities and not really taking the "cautious start" as a challenge</t>
  </si>
  <si>
    <t>Strategy is being refined and no clear signalling of mission</t>
  </si>
  <si>
    <t>Sweden results have not been sufficient</t>
  </si>
  <si>
    <t>Importance strategic partners like leading event provider and strategic partner HC Andersen Capital</t>
  </si>
  <si>
    <t>"Our vision: to be the forerunner in sustainable material handling equipment and services"</t>
  </si>
  <si>
    <t>Mentions lower sales compared to previous year</t>
  </si>
  <si>
    <t>Mentions importance of building long-term relationships</t>
  </si>
  <si>
    <t xml:space="preserve">Challenging market and not meeting demand, stagnation in new car sales </t>
  </si>
  <si>
    <t>Oartnership with Secto Automotive</t>
  </si>
  <si>
    <t>Mentions that environment remains complex, but doesn't highlight really any challenges</t>
  </si>
  <si>
    <t>"we will continue to collaborate with partners…"</t>
  </si>
  <si>
    <t>Not a clear mission statent, but goal of 100% electronic transportation sustainably signals core values</t>
  </si>
  <si>
    <t>Significant challenges, weak market conditions etc.</t>
  </si>
  <si>
    <t>DP World, Renault, local companies that support the ESG targets</t>
  </si>
  <si>
    <t>"Better trade everyday with a "Let's K" attitude"</t>
  </si>
  <si>
    <t>Highlights importance of giving employees enough responsibility in decision-making</t>
  </si>
  <si>
    <t>Difficulties mentioned multiple times</t>
  </si>
  <si>
    <t>Different sustainability strategies set and also highlighting that "good governance" is one of them</t>
  </si>
  <si>
    <t>"seamless cooperation with the retailers is a significant competitive advantage"</t>
  </si>
  <si>
    <t>Weak economic cycle and disruptive global political situation</t>
  </si>
  <si>
    <t>Nothing about the importance of partnerships and cooperation, basic thank you</t>
  </si>
  <si>
    <t>Decrease in FFO, oversupply in rental apartments, intense competition etc</t>
  </si>
  <si>
    <t>Sustainability targets mentioned, but this is more of a strategy target instead of self-regulatory practice</t>
  </si>
  <si>
    <t>"close collaboration with our new property maintenance partners"</t>
  </si>
  <si>
    <t>"ambition to become the world leader in material handling solutions" + "Konecranes moves what matters"</t>
  </si>
  <si>
    <t>Mainly positive or neutral, no challenges at all</t>
  </si>
  <si>
    <t>Over 60 ecosystem partners in Zero4 program</t>
  </si>
  <si>
    <t>Mentions that strategy message is clear, but the mission itself isn't clear in the comment</t>
  </si>
  <si>
    <t>Challenging market, interest rates, growth postponed</t>
  </si>
  <si>
    <t>No explicit reference to internal governance structures or self-regulatory practices, (partner regulation is CDP8)</t>
  </si>
  <si>
    <t>"we require our local contractor partners to carefully comply with sustainability regulations…"</t>
  </si>
  <si>
    <t>"Kreate spirit" + "we aim to be the best workplace for …"</t>
  </si>
  <si>
    <t>Many of our professionals are also shareholders</t>
  </si>
  <si>
    <t>straightforwand and open way of working, challenges communicated</t>
  </si>
  <si>
    <t>Declined revenue, challenging market, delayed financing etc</t>
  </si>
  <si>
    <t>Tramway in collaboration with GRK</t>
  </si>
  <si>
    <t>Vision is to become one of the world's leading environmental protection and recovery companies</t>
  </si>
  <si>
    <t>Below growth targets</t>
  </si>
  <si>
    <t>Collaboration with NEOM</t>
  </si>
  <si>
    <t>Deman decrease, sales decrease, projects postponed</t>
  </si>
  <si>
    <t>Stakeholders like 50 new jobs are mentioned but no concrete collaboration mentioned</t>
  </si>
  <si>
    <t>No clear mission, just "efficiency programme" which is basic strategy plan</t>
  </si>
  <si>
    <t>Challenging environment, demand decreases</t>
  </si>
  <si>
    <t>Mentions the future decline of revenue due to Zisson</t>
  </si>
  <si>
    <t>Weaker economic cycle, delays in payments</t>
  </si>
  <si>
    <t>Thhe ISO for security isn't considered a self-regulatory practice here</t>
  </si>
  <si>
    <t>Mentions Azure, but that is more of a cloud service system than a cooperative relationship</t>
  </si>
  <si>
    <t>Challenging market,s, volatility, weaker purchasing power</t>
  </si>
  <si>
    <t>Weak market weighs revenue and profit, difficulties in IT consulting</t>
  </si>
  <si>
    <t>Personnel offering to encourage employees to own Mandatum's shares</t>
  </si>
  <si>
    <t xml:space="preserve">"published sustainable insurance policy" -&gt; internal policy </t>
  </si>
  <si>
    <t>co-operation with Danske Bank</t>
  </si>
  <si>
    <t>SCALE strategy is not really a mission, it's a business strategy plan</t>
  </si>
  <si>
    <t>Franchise partnership model, limited edition collaborations</t>
  </si>
  <si>
    <t>I think WaaS model is more of way that the product is being sold than a mission</t>
  </si>
  <si>
    <t>Extremely challenging year</t>
  </si>
  <si>
    <t>Work closely with our value chain partners</t>
  </si>
  <si>
    <t>Negative EBITDA, economic uncertainty</t>
  </si>
  <si>
    <t>Saudi Arabia, GRK Group, Estonia's rail traffic etc</t>
  </si>
  <si>
    <t>Significant improvements in the areas of inclusion and collaboration</t>
  </si>
  <si>
    <t>Macroeconomic uncertainties and slower decision-making, this one is kinda 50-50, but at least there are these 2 challenges briefly mentioned</t>
  </si>
  <si>
    <t>Self-regulatory through internal safety audits</t>
  </si>
  <si>
    <t>Focus on fostering internal collaboration and collaboration with all our business partners</t>
  </si>
  <si>
    <t>Volatility in the market, below capacity, low demand</t>
  </si>
  <si>
    <t>Gas explosion in Kemi -&gt; restarted fast and minimized impact</t>
  </si>
  <si>
    <t>Äänekoski hosted a record number of customer cooperation projects</t>
  </si>
  <si>
    <t>Revenue is still low, negative EBITDA</t>
  </si>
  <si>
    <t>U.S. managed care organization as partner</t>
  </si>
  <si>
    <t>Disappointed in first ever contraction in year over year earnings, softer demand</t>
  </si>
  <si>
    <t>Not highlighting the importance of parnetships, mainly acquisitions</t>
  </si>
  <si>
    <t>Deals with development partners and commecialization partners</t>
  </si>
  <si>
    <t>Renewable fuels market changed dramatically, geopolitical uncertainty, new competition</t>
  </si>
  <si>
    <t>Not highlighting the importance of parnetships, generic thank you</t>
  </si>
  <si>
    <t>"Inspider by wisdom"</t>
  </si>
  <si>
    <t>Employees are higlighted as key to success but the benefit here is for the company not for the employees themselves</t>
  </si>
  <si>
    <t>Mentions meetings with employees that "guide us", but that's not very explicit sign of inclusivity</t>
  </si>
  <si>
    <t>Challenging market, investments likely postponed or reevaluated, spending cuts</t>
  </si>
  <si>
    <t>"Long-term customer relationships and new partnerships … creates genuine value", while no specic partnerships, clearly signals the importance</t>
  </si>
  <si>
    <t>Clear goal for the group to "enable patients to receive personalized and effective treatment …"</t>
  </si>
  <si>
    <t>Strategy updated with Board of Directors, management team, staff and clientele</t>
  </si>
  <si>
    <t>"Progress in collaboration plans" + specific mentions of collaborations</t>
  </si>
  <si>
    <t>Clear mission of building a healthier future</t>
  </si>
  <si>
    <t>Mainly reads like a sales speech for their technology</t>
  </si>
  <si>
    <t>Not highlighting the importance of partnerships, generic thank you</t>
  </si>
  <si>
    <t>Restaurant market challenges, consumer purchasing power challenges</t>
  </si>
  <si>
    <t>Operations are based on a partner model</t>
  </si>
  <si>
    <t>Net sales declining</t>
  </si>
  <si>
    <t>Strategic deal with AT&amp;T, Microsoft, CoreWeace etc</t>
  </si>
  <si>
    <t>Nothing about challenges, though this CEO review is a Q&amp;A for a new CEO so it doesn't really dig deep into anything</t>
  </si>
  <si>
    <t>"Collaboration within our organization" mentioned only</t>
  </si>
  <si>
    <t xml:space="preserve">"Our mindset: humble, yet detmined to help our customers …" </t>
  </si>
  <si>
    <t>"we took more steps towards an even more inclusive workspace"</t>
  </si>
  <si>
    <t>Geopolitical tensions, security threats</t>
  </si>
  <si>
    <t>Role in DSV acquisition of DB Schenker, "our ability to create value for major global players" -&gt; nordea is used as a partner for transactions</t>
  </si>
  <si>
    <t>Multiple challenges and negatives</t>
  </si>
  <si>
    <t>Generic mention of stakeholders but no clear signaling of collaboration with mutual benefits</t>
  </si>
  <si>
    <t>Decreased sales, challenging market, Suez Canal threat</t>
  </si>
  <si>
    <t>Investing heavily in the partnership network</t>
  </si>
  <si>
    <t>"Our vision is to be the most wanted multi-local beverage house"</t>
  </si>
  <si>
    <t>Just a basic thank you</t>
  </si>
  <si>
    <t>"ambition is to enable and solve the needs of households and …"</t>
  </si>
  <si>
    <t>Non-compliance affected losses etc</t>
  </si>
  <si>
    <t>Non-compliace let to key personnel positions changed</t>
  </si>
  <si>
    <t>Found about the non-compliance, reported to police, launched action plan</t>
  </si>
  <si>
    <t>"As a result of our own control processes we detected non-compliance with the guidelines"</t>
  </si>
  <si>
    <t>Cooperation with K Group</t>
  </si>
  <si>
    <t>"Our vision remains clear: to make eye screenings accessible …"</t>
  </si>
  <si>
    <t>No specific mentions but highlights "we are ready to foster strategic partnerships", which is more than just a basic thank you</t>
  </si>
  <si>
    <t>Not explicit mission perhaps, but mentions "becoming the leading specialist …"</t>
  </si>
  <si>
    <t>Actively engaged with our people to build collaborative working culture, "core leadership programme"</t>
  </si>
  <si>
    <t>Challenges in availability, weak consumer confidence</t>
  </si>
  <si>
    <t>"People policy"</t>
  </si>
  <si>
    <t>We focused on building strong partnerships + Kronans Apotek</t>
  </si>
  <si>
    <t>"Orthex purpose is to improve consumers everyday life with …"</t>
  </si>
  <si>
    <t>Low consumer confidence, customer carefulness, slower business climate, credit loss provisions</t>
  </si>
  <si>
    <t>Weak economic environment and uncertain geopolitics, decreased ebitda</t>
  </si>
  <si>
    <t>No specific collaborations and the customer mentions regarding emissions is more of a product being sold than a partnership</t>
  </si>
  <si>
    <t>Uncertain markets, delays in investment decisions, weaker demand</t>
  </si>
  <si>
    <t>CSRD standard for reporting is not internal governance</t>
  </si>
  <si>
    <t>Sustainability part briefly mentions stakeholders but nothing specific</t>
  </si>
  <si>
    <t>"We want to ensure impactful healthcare services that do not focus on producing outputs"</t>
  </si>
  <si>
    <t>Nothing about inclusive decision-making (only briefly mentions hearing stakeholders in sustainability)</t>
  </si>
  <si>
    <t>Mainly positive but mentions the challenging operating environment and revenue decrease in public services</t>
  </si>
  <si>
    <t>Launched "Pihlajalinna's leadership principles"</t>
  </si>
  <si>
    <t>Partner to insurance companies</t>
  </si>
  <si>
    <t>New values listed and "Ponsse spirit"</t>
  </si>
  <si>
    <t>Financial uncertainties, challenging market, weak order intake</t>
  </si>
  <si>
    <t>The new values give internal guidance</t>
  </si>
  <si>
    <t>Multiple partners and mutual operations mentioned</t>
  </si>
  <si>
    <t>1.5 million additional bonus for employees for their contribution</t>
  </si>
  <si>
    <t>Net sales decreased, lower circulation of goods</t>
  </si>
  <si>
    <t>Amazon award</t>
  </si>
  <si>
    <t xml:space="preserve">Only customer uncertainty leading to smaller avg purchase mentioned, but that is also brushed off with more customers so mainly positive </t>
  </si>
  <si>
    <t>Net sales growth fell short</t>
  </si>
  <si>
    <t>ISO and EU Cyber Resilience are third party</t>
  </si>
  <si>
    <t>Multiple new significant partnerships mentioned</t>
  </si>
  <si>
    <t>Not explicit mission perhaps, but the whole review fits with the "We make food from the heart because.."</t>
  </si>
  <si>
    <t>This review is more like a sustainabilty sale's speech, so in this case I took the scope 3 challenges etc. as transparency</t>
  </si>
  <si>
    <t>"Good Food plan"</t>
  </si>
  <si>
    <t>Employee satisfaction has risen and feedback is taken from staff suggests that not just top-down</t>
  </si>
  <si>
    <t>Challenged in the European markets, H2 profitability decrease, winter sports challenges</t>
  </si>
  <si>
    <t>It mentions refreshed values but nothing about what these values are</t>
  </si>
  <si>
    <t>Challenging operating environment, uncrainty, weakness, can be seen in order intake</t>
  </si>
  <si>
    <t>Employee survey provides a foundation for developing employee experience &amp; workplace</t>
  </si>
  <si>
    <t>Group-wide HR policy that provides guidelines, Code of conduct training program for all employees + more</t>
  </si>
  <si>
    <t>EBIT still negative, increased financing needs</t>
  </si>
  <si>
    <t>Strategic cross-media partnership with Annapurna Picture</t>
  </si>
  <si>
    <t>Weaker Q1, decrease in net sales in Q4, challenging macroeconomic and geopolitical look</t>
  </si>
  <si>
    <t>Cooperation with Aalto Executive Education</t>
  </si>
  <si>
    <t>Weak demand, orders down, net sales declined etc</t>
  </si>
  <si>
    <t>"Sustainable partnerships" are one sustainability theme but it's generic</t>
  </si>
  <si>
    <t>Mentions competition and 150m costs from Topdanmark</t>
  </si>
  <si>
    <t>Only acquisitions and generic thank you</t>
  </si>
  <si>
    <t>"In media, our mission is to provide …"</t>
  </si>
  <si>
    <t>Sustainability targets are linked to executive management's short-term incentives</t>
  </si>
  <si>
    <t>In Learning net sales decreased, demand for advertising weakened</t>
  </si>
  <si>
    <t>Meeting sustainability targets is rewarded =&gt; positive reinforcement</t>
  </si>
  <si>
    <t>"We made the journalistic and ethical guidelines…"</t>
  </si>
  <si>
    <t>Co-operation with Elisa</t>
  </si>
  <si>
    <t>Mentions updating values but not what the values are</t>
  </si>
  <si>
    <t>Challenges, decrease in turnover</t>
  </si>
  <si>
    <t>"Impact driven, AI powered", aim to be pioneer in ai-powered digital development</t>
  </si>
  <si>
    <t>Revenue decrease</t>
  </si>
  <si>
    <t>"We were selected as a partner for several AI and data projects in line with our strategy"</t>
  </si>
  <si>
    <t>"Vision of Redefining Smartness in Cities" + 3 pillars</t>
  </si>
  <si>
    <t>Overly optimistic expectations, delay in market recovery, low volumes etc</t>
  </si>
  <si>
    <t>No specific mentions but three new sustainability products: "all three products were developed in close collaboration"</t>
  </si>
  <si>
    <t>"Our mission is ambitious: bring Solein to market globally…"</t>
  </si>
  <si>
    <t>Collaboration with Fazer and chefs + KelpEat</t>
  </si>
  <si>
    <t>Revenue decreased, tougher-than-expected market, profit warning</t>
  </si>
  <si>
    <t>Not highlighting the importance of partnerships, not even generic thank you</t>
  </si>
  <si>
    <t>Performance share plan for key employees</t>
  </si>
  <si>
    <t>"To promote innovation and business collaboration… annual strategy meetings for subsidiary management and key personnel"</t>
  </si>
  <si>
    <t>Profitability decreased</t>
  </si>
  <si>
    <t>Partnered with One Planet Oy</t>
  </si>
  <si>
    <t>Production below our plan, lower EBITDA than expected</t>
  </si>
  <si>
    <t>Not highlighting the importance of partnerships, thanks employees</t>
  </si>
  <si>
    <t>"Our mission is to change the raw material base of the textile industry"</t>
  </si>
  <si>
    <t>Negative result, Suzano collaboration ending</t>
  </si>
  <si>
    <t>Multiple partnerships mentioned</t>
  </si>
  <si>
    <t>Finland's growth stalling, cost-cutting</t>
  </si>
  <si>
    <t>As this is a company that invests in growth organizations, the whole model is based on collaboration</t>
  </si>
  <si>
    <t>"sustainably profitable" - though it is mainly a strategy, it's a clear signal of a group mission</t>
  </si>
  <si>
    <t xml:space="preserve">Difficult market hindered improvements in earnings, </t>
  </si>
  <si>
    <t>Multiple cooperations with municipalities and companies like WithSecure</t>
  </si>
  <si>
    <t>"Vision to be the world's safest steel company" + "to be the most profitable steel company"</t>
  </si>
  <si>
    <t>Weaker market, lower earnings</t>
  </si>
  <si>
    <t>Partners like Vattenfall and LKAB for fossil-free sponge iron</t>
  </si>
  <si>
    <t>Generic ending phrase not considered mission here</t>
  </si>
  <si>
    <t>NATO supplier + other generic mentions</t>
  </si>
  <si>
    <t>Positive performance culture based on 4As</t>
  </si>
  <si>
    <t>Employee survey mentioned but not anything about how it affets decision-making</t>
  </si>
  <si>
    <t>weak demand, overcapacity, volatility, weak construction</t>
  </si>
  <si>
    <t>Just mentions of SBTi</t>
  </si>
  <si>
    <t>Partnerships like Södra and Altris</t>
  </si>
  <si>
    <t>No clear signalling, just some generic sustainability efforts that don't fulfill the criteria</t>
  </si>
  <si>
    <t>Geopolitical instability, Rasol revenuews short of expectations</t>
  </si>
  <si>
    <t>Collaboration with multiple groups mentioned</t>
  </si>
  <si>
    <t>"chasing one's own tail year after year", challenges for years, not enough sales in England</t>
  </si>
  <si>
    <t>"vision to be the frontrunnes in sustainability and innovation in the nonwoven arena"</t>
  </si>
  <si>
    <t>Employee survey + results help to improve employee engagement</t>
  </si>
  <si>
    <t>Operational issues, unplanned production downtime, additional expenses</t>
  </si>
  <si>
    <t>"operational issues" took immediate actions but no clarity on what this "issue" was so false</t>
  </si>
  <si>
    <t>"Climate-conscious and profitable action" is the title, but also the whole review is about sustainability so this is clear vision</t>
  </si>
  <si>
    <t>challenging fundraising conditions, geopolitics, inflation</t>
  </si>
  <si>
    <t>Missed EBITDA target, economic slowdown impacted net sales development</t>
  </si>
  <si>
    <t>Tranfering service ares to strategic partners, cooperation agreement for banking services</t>
  </si>
  <si>
    <t>Multiple headwinds, macroenomic challenges, currency voltatility</t>
  </si>
  <si>
    <t>Tier 1 telco deal mentioned but not as a mutual benefit partnership</t>
  </si>
  <si>
    <t>"Core mission remains unchanged: to deliver high-quality engineerind and to be …"</t>
  </si>
  <si>
    <t>Macroeconomic situation, operators' cautious investments, revenue declined in Public Safety and mobility</t>
  </si>
  <si>
    <t>North American operators mentioned but more as a customer not mutual benefit partner</t>
  </si>
  <si>
    <t>"Telia's purpose - reinventing better connected living"</t>
  </si>
  <si>
    <t>Reduction of 3000 positions, geopolitics, macroeconomic challenges</t>
  </si>
  <si>
    <t>"Through exclusive partnerships, we procide …"</t>
  </si>
  <si>
    <t>"We have a clear purpose; We fight for a healthier life"</t>
  </si>
  <si>
    <t>Revenue of the portfolio business segment decreased, revenue from Swedish business decreased</t>
  </si>
  <si>
    <t>UNCG is outside regulatory</t>
  </si>
  <si>
    <t>"Core values of openness, trust and diversity", though this is mainly speaking of the working environment, I think it still fits</t>
  </si>
  <si>
    <t>"ways of working co-created with our employees"</t>
  </si>
  <si>
    <t>Geopolitical uncertainty challenged growth, revenue declined</t>
  </si>
  <si>
    <t>Ransomware attack is a conflict but not in a "prosocial" way, more of a strategic conflict</t>
  </si>
  <si>
    <t>"Tietoevry sustainability pledge to guide and accelerate sustainability performance"</t>
  </si>
  <si>
    <t>Occupancy rate one of the lowest, difficult environment</t>
  </si>
  <si>
    <t>"Leading discount retailer in the Nordic countries"</t>
  </si>
  <si>
    <t>Cautious purchasing power, smaller number of products/basket, gross margin decreased, expenses grew</t>
  </si>
  <si>
    <t>Long-term cooperation with SPAR International</t>
  </si>
  <si>
    <t>"The purpose of Trainer's House is to help people forward"</t>
  </si>
  <si>
    <t>Just a generic mention of challenging market</t>
  </si>
  <si>
    <t>57% of the company is owned by the personnel, board members and tied agents</t>
  </si>
  <si>
    <t>Finnish real estate and equity markets underperformed, difficult year for new sales, real estate funds negative returns</t>
  </si>
  <si>
    <t>"We renew the everyday" and what that part says about value creation</t>
  </si>
  <si>
    <t>Pace of market improvement slowed, volatile markets, challenging conditions</t>
  </si>
  <si>
    <t>"Our renewed purpose of taking every measure for the planet" + "our responsibility to be a technology leader"</t>
  </si>
  <si>
    <t>Voice of people survey mentioned but not how it affects decision-making</t>
  </si>
  <si>
    <t>Geopolitical tensions, uncertainty</t>
  </si>
  <si>
    <t>Third party frameworks only mentioned</t>
  </si>
  <si>
    <t>Weather intelligence partnerships</t>
  </si>
  <si>
    <t>Generic mention of openness and collaboration</t>
  </si>
  <si>
    <t>"Our mission is clear: to continue to redefine retail, strengten our customers' trust and build sustainable growth"</t>
  </si>
  <si>
    <t>Challenging operating environment, change negotiations</t>
  </si>
  <si>
    <t>Weaker market had impact on revenue</t>
  </si>
  <si>
    <t>"Prioritzing domestic goods and services is one of our core values" + entire fleet sails under Finnish flag now</t>
  </si>
  <si>
    <t>Earnings did not reach last year's figure, consumer cautiousness, weak Swedish krona, geopolitics etc</t>
  </si>
  <si>
    <t>Projects for green sea corridors between Turku-Stockholm and Helsinki-Tallin are cooperation projects</t>
  </si>
  <si>
    <t>"Aims to be the most trusted digital business partner"</t>
  </si>
  <si>
    <t>Subdued year in terms of revenue and profitability development, challenging market, change negotiations</t>
  </si>
  <si>
    <t>Cybersecurity attack conflict lead to cooperative investigation and investments in security</t>
  </si>
  <si>
    <t>Cooperation with Edilex and Schetelig Group</t>
  </si>
  <si>
    <t>Historically weak year for automotive sector, uncerainty, EBITDA fell short</t>
  </si>
  <si>
    <t>Not highlighting the importance of partnerships, just acquisitions</t>
  </si>
  <si>
    <t>"we take pride in providing a European alternative for cyber security, and uncompromising reliability in the trust business"</t>
  </si>
  <si>
    <t>Modest economic growth + geopoltiics</t>
  </si>
  <si>
    <t>"Always a result of collaboration between WithSecure, our partners and end-customers"</t>
  </si>
  <si>
    <t>Our mission "A better world, one workplace at a time"</t>
  </si>
  <si>
    <t>Generic mention of creating values for customers, employees, and shareholders, not how it is actually done</t>
  </si>
  <si>
    <t>Revenue decline due to economic and geopolitical uncertainty</t>
  </si>
  <si>
    <t>Mentions "an increasing number of customers choose partners who align with their values", but this is a generic statement before announcing dividends</t>
  </si>
  <si>
    <t>"The Wärtsilä Way"</t>
  </si>
  <si>
    <t>Performance-based agreements, though these are between companies I think it still fits here, as this differs much from others</t>
  </si>
  <si>
    <t>Geopolitical tnesions, trade policy uncertainty</t>
  </si>
  <si>
    <t>"Set for 30" program with internal targets</t>
  </si>
  <si>
    <t>Collaboration deals like with Eidesvik, Scandlines etc</t>
  </si>
  <si>
    <t>"Our vision is to be the expert partner in developing sustainable homes, spaces and cities - for a good life"</t>
  </si>
  <si>
    <t>Operating profit weakened to -55million, weak market</t>
  </si>
  <si>
    <t>No explicit reference to internal governance structures or self-regulatory practices, just SBTI</t>
  </si>
  <si>
    <t>source for segments and sectors: https://www.nasdaq.com/european-market-activity/shares</t>
  </si>
  <si>
    <t>Full year revenue declined</t>
  </si>
  <si>
    <t>Strategic partnership with Snowflake, also mentions expanded partner network</t>
  </si>
  <si>
    <t>CDP Total</t>
  </si>
  <si>
    <t>First North</t>
  </si>
  <si>
    <t>Negative</t>
  </si>
  <si>
    <t>Positive</t>
  </si>
  <si>
    <t>Uncertainty</t>
  </si>
  <si>
    <t>Litigious</t>
  </si>
  <si>
    <t>Strong_Modal</t>
  </si>
  <si>
    <t>Weak_Modal</t>
  </si>
  <si>
    <t>Constraining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</si>
</sst>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DC5F6-0590-4AE0-8CAF-82E3BF78AE27}">
  <dimension ref="A1:T158"/>
  <sheetViews>
    <sheetView tabSelected="1" workbookViewId="0">
      <selection activeCell="Q2" sqref="Q2"/>
    </sheetView>
  </sheetViews>
  <sheetFormatPr defaultRowHeight="15" x14ac:dyDescent="0.25"/>
  <cols>
    <col min="1" max="1" width="31.28515625" bestFit="1" customWidth="1"/>
    <col min="10" max="10" width="9.42578125" bestFit="1" customWidth="1"/>
    <col min="11" max="11" width="10.5703125" bestFit="1" customWidth="1"/>
    <col min="12" max="12" width="9.7109375" bestFit="1" customWidth="1"/>
    <col min="13" max="13" width="12.85546875" bestFit="1" customWidth="1"/>
    <col min="14" max="14" width="10" bestFit="1" customWidth="1"/>
    <col min="15" max="15" width="15" bestFit="1" customWidth="1"/>
    <col min="16" max="16" width="14.28515625" bestFit="1" customWidth="1"/>
    <col min="17" max="17" width="13.85546875" bestFit="1" customWidth="1"/>
    <col min="18" max="18" width="12.140625" bestFit="1" customWidth="1"/>
    <col min="19" max="19" width="21.85546875" bestFit="1" customWidth="1"/>
    <col min="20" max="20" width="22.5703125" bestFit="1" customWidth="1"/>
  </cols>
  <sheetData>
    <row r="1" spans="1:20" x14ac:dyDescent="0.25">
      <c r="A1" t="s">
        <v>0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658</v>
      </c>
      <c r="K1" t="s">
        <v>660</v>
      </c>
      <c r="L1" t="s">
        <v>661</v>
      </c>
      <c r="M1" t="s">
        <v>662</v>
      </c>
      <c r="N1" t="s">
        <v>663</v>
      </c>
      <c r="O1" t="s">
        <v>664</v>
      </c>
      <c r="P1" t="s">
        <v>665</v>
      </c>
      <c r="Q1" t="s">
        <v>666</v>
      </c>
      <c r="R1" t="s">
        <v>276</v>
      </c>
      <c r="S1" t="s">
        <v>277</v>
      </c>
      <c r="T1" t="s">
        <v>278</v>
      </c>
    </row>
    <row r="2" spans="1:20" x14ac:dyDescent="0.25">
      <c r="A2" t="s">
        <v>1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f>SUM(B2:I2)</f>
        <v>3</v>
      </c>
      <c r="K2">
        <v>5.3003529999999998E-3</v>
      </c>
      <c r="L2">
        <v>3.7102472999999997E-2</v>
      </c>
      <c r="M2">
        <v>3.5335689999999999E-3</v>
      </c>
      <c r="N2">
        <v>1.766784E-3</v>
      </c>
      <c r="O2">
        <v>1.2367491E-2</v>
      </c>
      <c r="P2">
        <v>0</v>
      </c>
      <c r="Q2">
        <v>1.766784E-3</v>
      </c>
      <c r="R2">
        <v>566</v>
      </c>
      <c r="S2" t="s">
        <v>659</v>
      </c>
      <c r="T2" t="s">
        <v>283</v>
      </c>
    </row>
    <row r="3" spans="1:20" x14ac:dyDescent="0.25">
      <c r="A3" t="s">
        <v>2</v>
      </c>
      <c r="B3">
        <v>0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  <c r="J3">
        <f t="shared" ref="J3:J66" si="0">SUM(B3:I3)</f>
        <v>4</v>
      </c>
      <c r="K3">
        <v>9.4722599999999997E-3</v>
      </c>
      <c r="L3">
        <v>4.6008119E-2</v>
      </c>
      <c r="M3">
        <v>1.082544E-2</v>
      </c>
      <c r="N3">
        <v>0</v>
      </c>
      <c r="O3">
        <v>1.2178619999999999E-2</v>
      </c>
      <c r="P3">
        <v>2.7063600000000001E-3</v>
      </c>
      <c r="Q3">
        <v>2.7063600000000001E-3</v>
      </c>
      <c r="R3">
        <v>739</v>
      </c>
      <c r="S3" t="s">
        <v>659</v>
      </c>
      <c r="T3" t="s">
        <v>285</v>
      </c>
    </row>
    <row r="4" spans="1:20" x14ac:dyDescent="0.25">
      <c r="A4" t="s">
        <v>3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f t="shared" si="0"/>
        <v>1</v>
      </c>
      <c r="K4">
        <v>1.7543860000000001E-2</v>
      </c>
      <c r="L4">
        <v>3.5087719000000003E-2</v>
      </c>
      <c r="M4">
        <v>0</v>
      </c>
      <c r="N4">
        <v>0</v>
      </c>
      <c r="O4">
        <v>8.7719300000000007E-3</v>
      </c>
      <c r="P4">
        <v>0</v>
      </c>
      <c r="Q4">
        <v>0</v>
      </c>
      <c r="R4">
        <v>114</v>
      </c>
      <c r="S4" t="s">
        <v>279</v>
      </c>
      <c r="T4" t="s">
        <v>280</v>
      </c>
    </row>
    <row r="5" spans="1:20" x14ac:dyDescent="0.25">
      <c r="A5" t="s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f t="shared" si="0"/>
        <v>2</v>
      </c>
      <c r="K5">
        <v>0</v>
      </c>
      <c r="L5">
        <v>4.4910180000000001E-2</v>
      </c>
      <c r="M5">
        <v>5.9880239999999998E-3</v>
      </c>
      <c r="N5">
        <v>1.4970059999999999E-3</v>
      </c>
      <c r="O5">
        <v>4.4910180000000003E-3</v>
      </c>
      <c r="P5">
        <v>0</v>
      </c>
      <c r="Q5">
        <v>0</v>
      </c>
      <c r="R5">
        <v>668</v>
      </c>
      <c r="S5" t="s">
        <v>659</v>
      </c>
      <c r="T5" t="s">
        <v>284</v>
      </c>
    </row>
    <row r="6" spans="1:20" x14ac:dyDescent="0.25">
      <c r="A6" t="s">
        <v>5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f t="shared" si="0"/>
        <v>3</v>
      </c>
      <c r="K6">
        <v>6.6964290000000003E-3</v>
      </c>
      <c r="L6">
        <v>5.3571428999999997E-2</v>
      </c>
      <c r="M6">
        <v>8.9285709999999997E-3</v>
      </c>
      <c r="N6">
        <v>2.2321429999999998E-3</v>
      </c>
      <c r="O6">
        <v>2.2321429999999998E-3</v>
      </c>
      <c r="P6">
        <v>2.2321429999999998E-3</v>
      </c>
      <c r="Q6">
        <v>4.4642859999999996E-3</v>
      </c>
      <c r="R6">
        <v>448</v>
      </c>
      <c r="S6" t="s">
        <v>299</v>
      </c>
      <c r="T6" t="s">
        <v>281</v>
      </c>
    </row>
    <row r="7" spans="1:20" x14ac:dyDescent="0.25">
      <c r="A7" t="s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f t="shared" si="0"/>
        <v>3</v>
      </c>
      <c r="K7">
        <v>1.8043685E-2</v>
      </c>
      <c r="L7">
        <v>1.9943019999999999E-2</v>
      </c>
      <c r="M7">
        <v>4.7483380000000004E-3</v>
      </c>
      <c r="N7">
        <v>0</v>
      </c>
      <c r="O7">
        <v>9.4966799999999997E-4</v>
      </c>
      <c r="P7">
        <v>1.899335E-3</v>
      </c>
      <c r="Q7">
        <v>0</v>
      </c>
      <c r="R7">
        <v>1053</v>
      </c>
      <c r="S7" t="s">
        <v>279</v>
      </c>
      <c r="T7" t="s">
        <v>281</v>
      </c>
    </row>
    <row r="8" spans="1:20" x14ac:dyDescent="0.25">
      <c r="A8" t="s">
        <v>7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>
        <f t="shared" si="0"/>
        <v>2</v>
      </c>
      <c r="K8">
        <v>1.0486176999999999E-2</v>
      </c>
      <c r="L8">
        <v>2.478551E-2</v>
      </c>
      <c r="M8">
        <v>6.6730219999999998E-3</v>
      </c>
      <c r="N8">
        <v>9.5328899999999996E-4</v>
      </c>
      <c r="O8">
        <v>9.5328899999999996E-4</v>
      </c>
      <c r="P8">
        <v>2.8598669999999999E-3</v>
      </c>
      <c r="Q8">
        <v>1.9065779999999999E-3</v>
      </c>
      <c r="R8">
        <v>1049</v>
      </c>
      <c r="S8" t="s">
        <v>299</v>
      </c>
      <c r="T8" t="s">
        <v>295</v>
      </c>
    </row>
    <row r="9" spans="1:20" x14ac:dyDescent="0.25">
      <c r="A9" t="s">
        <v>8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f t="shared" si="0"/>
        <v>1</v>
      </c>
      <c r="K9">
        <v>1.8281536000000001E-2</v>
      </c>
      <c r="L9">
        <v>2.7422302999999999E-2</v>
      </c>
      <c r="M9">
        <v>3.6563070000000001E-3</v>
      </c>
      <c r="N9">
        <v>0</v>
      </c>
      <c r="O9">
        <v>1.828154E-3</v>
      </c>
      <c r="P9">
        <v>1.828154E-3</v>
      </c>
      <c r="Q9">
        <v>1.828154E-3</v>
      </c>
      <c r="R9">
        <v>547</v>
      </c>
      <c r="S9" t="s">
        <v>299</v>
      </c>
      <c r="T9" t="s">
        <v>282</v>
      </c>
    </row>
    <row r="10" spans="1:20" x14ac:dyDescent="0.25">
      <c r="A10" t="s">
        <v>9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f t="shared" si="0"/>
        <v>3</v>
      </c>
      <c r="K10">
        <v>1.3577730000000001E-3</v>
      </c>
      <c r="L10">
        <v>2.7834352E-2</v>
      </c>
      <c r="M10">
        <v>4.0733200000000001E-3</v>
      </c>
      <c r="N10">
        <v>3.3944330000000001E-3</v>
      </c>
      <c r="O10">
        <v>4.7522060000000001E-3</v>
      </c>
      <c r="P10">
        <v>6.7888699999999998E-4</v>
      </c>
      <c r="Q10">
        <v>1.3577730000000001E-3</v>
      </c>
      <c r="R10">
        <v>1473</v>
      </c>
      <c r="S10" t="s">
        <v>279</v>
      </c>
      <c r="T10" t="s">
        <v>282</v>
      </c>
    </row>
    <row r="11" spans="1:20" x14ac:dyDescent="0.25">
      <c r="A11" t="s">
        <v>10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f t="shared" si="0"/>
        <v>1</v>
      </c>
      <c r="K11">
        <v>1.6701461000000001E-2</v>
      </c>
      <c r="L11">
        <v>2.8183716000000001E-2</v>
      </c>
      <c r="M11">
        <v>4.1753650000000003E-3</v>
      </c>
      <c r="N11">
        <v>4.1753650000000003E-3</v>
      </c>
      <c r="O11">
        <v>1.1482255E-2</v>
      </c>
      <c r="P11">
        <v>1.043841E-3</v>
      </c>
      <c r="Q11">
        <v>3.1315240000000001E-3</v>
      </c>
      <c r="R11">
        <v>958</v>
      </c>
      <c r="S11" t="s">
        <v>299</v>
      </c>
      <c r="T11" t="s">
        <v>295</v>
      </c>
    </row>
    <row r="12" spans="1:20" x14ac:dyDescent="0.25">
      <c r="A12" t="s">
        <v>11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>
        <f t="shared" si="0"/>
        <v>2</v>
      </c>
      <c r="K12">
        <v>8.2236840000000002E-3</v>
      </c>
      <c r="L12">
        <v>2.6315788999999999E-2</v>
      </c>
      <c r="M12">
        <v>1.6447370000000001E-3</v>
      </c>
      <c r="N12">
        <v>0</v>
      </c>
      <c r="O12">
        <v>1.6447370000000001E-3</v>
      </c>
      <c r="P12">
        <v>1.6447370000000001E-3</v>
      </c>
      <c r="Q12">
        <v>3.2894740000000001E-3</v>
      </c>
      <c r="R12">
        <v>608</v>
      </c>
      <c r="S12" t="s">
        <v>299</v>
      </c>
      <c r="T12" t="s">
        <v>285</v>
      </c>
    </row>
    <row r="13" spans="1:20" x14ac:dyDescent="0.25">
      <c r="A13" t="s">
        <v>12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f t="shared" si="0"/>
        <v>2</v>
      </c>
      <c r="K13">
        <v>6.2370059999999998E-3</v>
      </c>
      <c r="L13">
        <v>4.5738045999999997E-2</v>
      </c>
      <c r="M13">
        <v>6.2370059999999998E-3</v>
      </c>
      <c r="N13">
        <v>0</v>
      </c>
      <c r="O13">
        <v>1.6632016999999999E-2</v>
      </c>
      <c r="P13">
        <v>4.1580039999999999E-3</v>
      </c>
      <c r="Q13">
        <v>0</v>
      </c>
      <c r="R13">
        <v>481</v>
      </c>
      <c r="S13" t="s">
        <v>279</v>
      </c>
      <c r="T13" t="s">
        <v>283</v>
      </c>
    </row>
    <row r="14" spans="1:20" x14ac:dyDescent="0.25">
      <c r="A14" t="s">
        <v>286</v>
      </c>
      <c r="B14">
        <v>1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  <c r="I14">
        <v>1</v>
      </c>
      <c r="J14">
        <f t="shared" si="0"/>
        <v>4</v>
      </c>
      <c r="K14">
        <v>3.7071360000000002E-3</v>
      </c>
      <c r="L14">
        <v>5.4680259000000002E-2</v>
      </c>
      <c r="M14">
        <v>3.7071360000000002E-3</v>
      </c>
      <c r="N14">
        <v>9.2678400000000005E-4</v>
      </c>
      <c r="O14">
        <v>4.6339199999999997E-3</v>
      </c>
      <c r="P14">
        <v>0</v>
      </c>
      <c r="Q14">
        <v>9.2678400000000005E-4</v>
      </c>
      <c r="R14">
        <v>1079</v>
      </c>
      <c r="S14" t="s">
        <v>299</v>
      </c>
      <c r="T14" t="s">
        <v>282</v>
      </c>
    </row>
    <row r="15" spans="1:20" x14ac:dyDescent="0.25">
      <c r="A15" t="s">
        <v>287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>
        <f t="shared" si="0"/>
        <v>3</v>
      </c>
      <c r="K15">
        <v>6.3291140000000003E-3</v>
      </c>
      <c r="L15">
        <v>1.4959724000000001E-2</v>
      </c>
      <c r="M15">
        <v>2.8768700000000001E-3</v>
      </c>
      <c r="N15">
        <v>1.7261220000000001E-3</v>
      </c>
      <c r="O15">
        <v>5.1783660000000002E-3</v>
      </c>
      <c r="P15">
        <v>1.150748E-3</v>
      </c>
      <c r="Q15">
        <v>3.4522440000000001E-3</v>
      </c>
      <c r="R15">
        <v>1738</v>
      </c>
      <c r="S15" t="s">
        <v>299</v>
      </c>
      <c r="T15" t="s">
        <v>281</v>
      </c>
    </row>
    <row r="16" spans="1:20" x14ac:dyDescent="0.25">
      <c r="A16" t="s">
        <v>13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f t="shared" si="0"/>
        <v>2</v>
      </c>
      <c r="K16">
        <v>9.3457939999999993E-3</v>
      </c>
      <c r="L16">
        <v>4.0498442000000003E-2</v>
      </c>
      <c r="M16">
        <v>0</v>
      </c>
      <c r="N16">
        <v>0</v>
      </c>
      <c r="O16">
        <v>6.2305299999999997E-3</v>
      </c>
      <c r="P16">
        <v>0</v>
      </c>
      <c r="Q16">
        <v>6.2305299999999997E-3</v>
      </c>
      <c r="R16">
        <v>321</v>
      </c>
      <c r="S16" t="s">
        <v>659</v>
      </c>
      <c r="T16" t="s">
        <v>285</v>
      </c>
    </row>
    <row r="17" spans="1:20" x14ac:dyDescent="0.25">
      <c r="A17" t="s">
        <v>288</v>
      </c>
      <c r="B17">
        <v>1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f t="shared" si="0"/>
        <v>3</v>
      </c>
      <c r="K17">
        <v>9.4086020000000003E-3</v>
      </c>
      <c r="L17">
        <v>2.1505376E-2</v>
      </c>
      <c r="M17">
        <v>6.7204300000000003E-3</v>
      </c>
      <c r="N17">
        <v>2.688172E-3</v>
      </c>
      <c r="O17">
        <v>1.0752688E-2</v>
      </c>
      <c r="P17">
        <v>1.344086E-3</v>
      </c>
      <c r="Q17">
        <v>0</v>
      </c>
      <c r="R17">
        <v>744</v>
      </c>
      <c r="S17" t="s">
        <v>279</v>
      </c>
      <c r="T17" t="s">
        <v>284</v>
      </c>
    </row>
    <row r="18" spans="1:20" x14ac:dyDescent="0.25">
      <c r="A18" t="s">
        <v>14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f t="shared" si="0"/>
        <v>3</v>
      </c>
      <c r="K18">
        <v>3.8412289999999998E-3</v>
      </c>
      <c r="L18">
        <v>4.7375159999999999E-2</v>
      </c>
      <c r="M18">
        <v>1.2804100000000001E-3</v>
      </c>
      <c r="N18">
        <v>0</v>
      </c>
      <c r="O18">
        <v>7.6824579999999996E-3</v>
      </c>
      <c r="P18">
        <v>0</v>
      </c>
      <c r="Q18">
        <v>1.2804100000000001E-3</v>
      </c>
      <c r="R18">
        <v>781</v>
      </c>
      <c r="S18" t="s">
        <v>659</v>
      </c>
      <c r="T18" t="s">
        <v>284</v>
      </c>
    </row>
    <row r="19" spans="1:20" x14ac:dyDescent="0.25">
      <c r="A19" t="s">
        <v>15</v>
      </c>
      <c r="B19">
        <v>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>
        <f t="shared" si="0"/>
        <v>3</v>
      </c>
      <c r="K19">
        <v>8.7489060000000007E-3</v>
      </c>
      <c r="L19">
        <v>2.8871391E-2</v>
      </c>
      <c r="M19">
        <v>4.3744530000000004E-3</v>
      </c>
      <c r="N19">
        <v>1.7497809999999999E-3</v>
      </c>
      <c r="O19">
        <v>5.2493440000000004E-3</v>
      </c>
      <c r="P19">
        <v>1.7497809999999999E-3</v>
      </c>
      <c r="Q19">
        <v>4.3744530000000004E-3</v>
      </c>
      <c r="R19">
        <v>1143</v>
      </c>
      <c r="S19" t="s">
        <v>299</v>
      </c>
      <c r="T19" t="s">
        <v>285</v>
      </c>
    </row>
    <row r="20" spans="1:20" x14ac:dyDescent="0.25">
      <c r="A20" t="s">
        <v>16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f t="shared" si="0"/>
        <v>2</v>
      </c>
      <c r="K20">
        <v>1.4880951999999999E-2</v>
      </c>
      <c r="L20">
        <v>7.7380952000000003E-2</v>
      </c>
      <c r="M20">
        <v>2.9761900000000001E-3</v>
      </c>
      <c r="N20">
        <v>0</v>
      </c>
      <c r="O20">
        <v>5.9523809999999996E-3</v>
      </c>
      <c r="P20">
        <v>0</v>
      </c>
      <c r="Q20">
        <v>0</v>
      </c>
      <c r="R20">
        <v>336</v>
      </c>
      <c r="S20" t="s">
        <v>279</v>
      </c>
      <c r="T20" t="s">
        <v>285</v>
      </c>
    </row>
    <row r="21" spans="1:20" x14ac:dyDescent="0.25">
      <c r="A21" t="s">
        <v>289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>
        <f t="shared" si="0"/>
        <v>2</v>
      </c>
      <c r="K21">
        <v>0</v>
      </c>
      <c r="L21">
        <v>2.5263158000000001E-2</v>
      </c>
      <c r="M21">
        <v>2.105263E-3</v>
      </c>
      <c r="N21">
        <v>0</v>
      </c>
      <c r="O21">
        <v>0</v>
      </c>
      <c r="P21">
        <v>0</v>
      </c>
      <c r="Q21">
        <v>2.105263E-3</v>
      </c>
      <c r="R21">
        <v>475</v>
      </c>
      <c r="S21" t="s">
        <v>659</v>
      </c>
      <c r="T21" t="s">
        <v>283</v>
      </c>
    </row>
    <row r="22" spans="1:20" x14ac:dyDescent="0.25">
      <c r="A22" t="s">
        <v>17</v>
      </c>
      <c r="B22">
        <v>1</v>
      </c>
      <c r="C22">
        <v>1</v>
      </c>
      <c r="D22">
        <v>0</v>
      </c>
      <c r="E22">
        <v>1</v>
      </c>
      <c r="F22">
        <v>1</v>
      </c>
      <c r="G22">
        <v>0</v>
      </c>
      <c r="H22">
        <v>1</v>
      </c>
      <c r="I22">
        <v>1</v>
      </c>
      <c r="J22">
        <f t="shared" si="0"/>
        <v>6</v>
      </c>
      <c r="K22">
        <v>6.6921610000000003E-3</v>
      </c>
      <c r="L22">
        <v>2.4856597000000001E-2</v>
      </c>
      <c r="M22">
        <v>3.8240919999999999E-3</v>
      </c>
      <c r="N22">
        <v>0</v>
      </c>
      <c r="O22">
        <v>2.868069E-3</v>
      </c>
      <c r="P22">
        <v>0</v>
      </c>
      <c r="Q22">
        <v>4.7801149999999997E-3</v>
      </c>
      <c r="R22">
        <v>1046</v>
      </c>
      <c r="S22" t="s">
        <v>299</v>
      </c>
      <c r="T22" t="s">
        <v>281</v>
      </c>
    </row>
    <row r="23" spans="1:20" x14ac:dyDescent="0.25">
      <c r="A23" t="s">
        <v>18</v>
      </c>
      <c r="B23">
        <v>1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f t="shared" si="0"/>
        <v>2</v>
      </c>
      <c r="K23">
        <v>1.0362694E-2</v>
      </c>
      <c r="L23">
        <v>2.0725389E-2</v>
      </c>
      <c r="M23">
        <v>5.1813470000000002E-3</v>
      </c>
      <c r="N23">
        <v>0</v>
      </c>
      <c r="O23">
        <v>6.4766839999999999E-3</v>
      </c>
      <c r="P23">
        <v>0</v>
      </c>
      <c r="Q23">
        <v>0</v>
      </c>
      <c r="R23">
        <v>772</v>
      </c>
      <c r="S23" t="s">
        <v>299</v>
      </c>
      <c r="T23" t="s">
        <v>296</v>
      </c>
    </row>
    <row r="24" spans="1:20" x14ac:dyDescent="0.25">
      <c r="A24" t="s">
        <v>19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f t="shared" si="0"/>
        <v>1</v>
      </c>
      <c r="K24">
        <v>7.6530610000000001E-3</v>
      </c>
      <c r="L24">
        <v>2.5510204000000002E-2</v>
      </c>
      <c r="M24">
        <v>7.6530610000000001E-3</v>
      </c>
      <c r="N24">
        <v>5.1020409999999999E-3</v>
      </c>
      <c r="O24">
        <v>2.5510200000000002E-3</v>
      </c>
      <c r="P24">
        <v>0</v>
      </c>
      <c r="Q24">
        <v>2.5510200000000002E-3</v>
      </c>
      <c r="R24">
        <v>784</v>
      </c>
      <c r="S24" t="s">
        <v>279</v>
      </c>
      <c r="T24" t="s">
        <v>280</v>
      </c>
    </row>
    <row r="25" spans="1:20" x14ac:dyDescent="0.25">
      <c r="A25" t="s">
        <v>20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f t="shared" si="0"/>
        <v>1</v>
      </c>
      <c r="K25">
        <v>1.0849910000000001E-2</v>
      </c>
      <c r="L25">
        <v>3.074141E-2</v>
      </c>
      <c r="M25">
        <v>1.8083179999999999E-3</v>
      </c>
      <c r="N25">
        <v>1.8083179999999999E-3</v>
      </c>
      <c r="O25">
        <v>0</v>
      </c>
      <c r="P25">
        <v>0</v>
      </c>
      <c r="Q25">
        <v>1.8083179999999999E-3</v>
      </c>
      <c r="R25">
        <v>553</v>
      </c>
      <c r="S25" t="s">
        <v>279</v>
      </c>
      <c r="T25" t="s">
        <v>285</v>
      </c>
    </row>
    <row r="26" spans="1:20" x14ac:dyDescent="0.25">
      <c r="A26" t="s">
        <v>21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f t="shared" si="0"/>
        <v>1</v>
      </c>
      <c r="K26">
        <v>8.8028169999999992E-3</v>
      </c>
      <c r="L26">
        <v>5.4577464999999999E-2</v>
      </c>
      <c r="M26">
        <v>1.2323944E-2</v>
      </c>
      <c r="N26">
        <v>1.7605629999999999E-3</v>
      </c>
      <c r="O26">
        <v>1.7605629999999999E-3</v>
      </c>
      <c r="P26">
        <v>1.7605629999999999E-3</v>
      </c>
      <c r="Q26">
        <v>1.7605629999999999E-3</v>
      </c>
      <c r="R26">
        <v>568</v>
      </c>
      <c r="S26" t="s">
        <v>659</v>
      </c>
      <c r="T26" t="s">
        <v>285</v>
      </c>
    </row>
    <row r="27" spans="1:20" x14ac:dyDescent="0.25">
      <c r="A27" t="s">
        <v>22</v>
      </c>
      <c r="B27">
        <v>1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f t="shared" si="0"/>
        <v>3</v>
      </c>
      <c r="K27">
        <v>5.6818179999999999E-3</v>
      </c>
      <c r="L27">
        <v>2.2727272999999999E-2</v>
      </c>
      <c r="M27">
        <v>5.6818179999999999E-3</v>
      </c>
      <c r="N27">
        <v>0</v>
      </c>
      <c r="O27">
        <v>2.840909E-3</v>
      </c>
      <c r="P27">
        <v>0</v>
      </c>
      <c r="Q27">
        <v>0</v>
      </c>
      <c r="R27">
        <v>352</v>
      </c>
      <c r="S27" t="s">
        <v>299</v>
      </c>
      <c r="T27" t="s">
        <v>283</v>
      </c>
    </row>
    <row r="28" spans="1:20" x14ac:dyDescent="0.25">
      <c r="A28" t="s">
        <v>23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f t="shared" si="0"/>
        <v>1</v>
      </c>
      <c r="K28">
        <v>1.9960080000000001E-3</v>
      </c>
      <c r="L28">
        <v>5.1896207999999999E-2</v>
      </c>
      <c r="M28">
        <v>7.9840320000000003E-3</v>
      </c>
      <c r="N28">
        <v>0</v>
      </c>
      <c r="O28">
        <v>1.1976048E-2</v>
      </c>
      <c r="P28">
        <v>5.9880239999999998E-3</v>
      </c>
      <c r="Q28">
        <v>0</v>
      </c>
      <c r="R28">
        <v>501</v>
      </c>
      <c r="S28" t="s">
        <v>659</v>
      </c>
      <c r="T28" t="s">
        <v>283</v>
      </c>
    </row>
    <row r="29" spans="1:20" x14ac:dyDescent="0.25">
      <c r="A29" t="s">
        <v>24</v>
      </c>
      <c r="B29">
        <v>1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f t="shared" si="0"/>
        <v>2</v>
      </c>
      <c r="K29">
        <v>4.0302267000000003E-2</v>
      </c>
      <c r="L29">
        <v>2.7707809E-2</v>
      </c>
      <c r="M29">
        <v>7.5566749999999997E-3</v>
      </c>
      <c r="N29">
        <v>0</v>
      </c>
      <c r="O29">
        <v>1.0075567000000001E-2</v>
      </c>
      <c r="P29">
        <v>0</v>
      </c>
      <c r="Q29">
        <v>2.518892E-3</v>
      </c>
      <c r="R29">
        <v>397</v>
      </c>
      <c r="S29" t="s">
        <v>279</v>
      </c>
      <c r="T29" t="s">
        <v>285</v>
      </c>
    </row>
    <row r="30" spans="1:20" x14ac:dyDescent="0.25">
      <c r="A30" t="s">
        <v>25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1</v>
      </c>
      <c r="I30">
        <v>0</v>
      </c>
      <c r="J30">
        <f t="shared" si="0"/>
        <v>2</v>
      </c>
      <c r="K30">
        <v>1.908397E-3</v>
      </c>
      <c r="L30">
        <v>4.7709924000000001E-2</v>
      </c>
      <c r="M30">
        <v>1.3358778999999999E-2</v>
      </c>
      <c r="N30">
        <v>3.8167940000000001E-3</v>
      </c>
      <c r="O30">
        <v>5.7251910000000001E-3</v>
      </c>
      <c r="P30">
        <v>7.6335880000000002E-3</v>
      </c>
      <c r="Q30">
        <v>3.8167940000000001E-3</v>
      </c>
      <c r="R30">
        <v>524</v>
      </c>
      <c r="S30" t="s">
        <v>659</v>
      </c>
      <c r="T30" t="s">
        <v>295</v>
      </c>
    </row>
    <row r="31" spans="1:20" x14ac:dyDescent="0.25">
      <c r="A31" t="s">
        <v>26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f t="shared" si="0"/>
        <v>1</v>
      </c>
      <c r="K31">
        <v>2.1645022E-2</v>
      </c>
      <c r="L31">
        <v>4.3290043E-2</v>
      </c>
      <c r="M31">
        <v>0</v>
      </c>
      <c r="N31">
        <v>0</v>
      </c>
      <c r="O31">
        <v>0</v>
      </c>
      <c r="P31">
        <v>0</v>
      </c>
      <c r="Q31">
        <v>0</v>
      </c>
      <c r="R31">
        <v>231</v>
      </c>
      <c r="S31" t="s">
        <v>659</v>
      </c>
      <c r="T31" t="s">
        <v>285</v>
      </c>
    </row>
    <row r="32" spans="1:20" x14ac:dyDescent="0.25">
      <c r="A32" t="s">
        <v>27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f t="shared" si="0"/>
        <v>1</v>
      </c>
      <c r="K32">
        <v>7.2289160000000002E-3</v>
      </c>
      <c r="L32">
        <v>2.8915663000000001E-2</v>
      </c>
      <c r="M32">
        <v>0</v>
      </c>
      <c r="N32">
        <v>2.4096389999999999E-3</v>
      </c>
      <c r="O32">
        <v>4.8192770000000003E-3</v>
      </c>
      <c r="P32">
        <v>0</v>
      </c>
      <c r="Q32">
        <v>2.4096389999999999E-3</v>
      </c>
      <c r="R32">
        <v>415</v>
      </c>
      <c r="S32" t="s">
        <v>659</v>
      </c>
      <c r="T32" t="s">
        <v>285</v>
      </c>
    </row>
    <row r="33" spans="1:20" x14ac:dyDescent="0.25">
      <c r="A33" t="s">
        <v>28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f t="shared" si="0"/>
        <v>1</v>
      </c>
      <c r="K33">
        <v>1.0355029999999999E-2</v>
      </c>
      <c r="L33">
        <v>4.5857988000000002E-2</v>
      </c>
      <c r="M33">
        <v>1.4792900000000001E-3</v>
      </c>
      <c r="N33">
        <v>1.4792900000000001E-3</v>
      </c>
      <c r="O33">
        <v>8.87574E-3</v>
      </c>
      <c r="P33">
        <v>1.4792900000000001E-3</v>
      </c>
      <c r="Q33">
        <v>0</v>
      </c>
      <c r="R33">
        <v>676</v>
      </c>
      <c r="S33" t="s">
        <v>279</v>
      </c>
      <c r="T33" t="s">
        <v>285</v>
      </c>
    </row>
    <row r="34" spans="1:20" x14ac:dyDescent="0.25">
      <c r="A34" t="s">
        <v>290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f t="shared" si="0"/>
        <v>1</v>
      </c>
      <c r="K34">
        <v>2.2916667000000002E-2</v>
      </c>
      <c r="L34">
        <v>2.7083333000000001E-2</v>
      </c>
      <c r="M34">
        <v>2.0833332999999999E-2</v>
      </c>
      <c r="N34">
        <v>2.0833330000000001E-3</v>
      </c>
      <c r="O34">
        <v>1.0416666999999999E-2</v>
      </c>
      <c r="P34">
        <v>4.1666669999999998E-3</v>
      </c>
      <c r="Q34">
        <v>0</v>
      </c>
      <c r="R34">
        <v>480</v>
      </c>
      <c r="S34" t="s">
        <v>279</v>
      </c>
      <c r="T34" t="s">
        <v>285</v>
      </c>
    </row>
    <row r="35" spans="1:20" x14ac:dyDescent="0.25">
      <c r="A35" t="s">
        <v>29</v>
      </c>
      <c r="B35">
        <v>1</v>
      </c>
      <c r="C35">
        <v>0</v>
      </c>
      <c r="D35">
        <v>1</v>
      </c>
      <c r="E35">
        <v>1</v>
      </c>
      <c r="F35">
        <v>0</v>
      </c>
      <c r="G35">
        <v>0</v>
      </c>
      <c r="H35">
        <v>1</v>
      </c>
      <c r="I35">
        <v>1</v>
      </c>
      <c r="J35">
        <f t="shared" si="0"/>
        <v>5</v>
      </c>
      <c r="K35">
        <v>6.5789469999999999E-3</v>
      </c>
      <c r="L35">
        <v>2.3496241000000001E-2</v>
      </c>
      <c r="M35">
        <v>3.7593980000000002E-3</v>
      </c>
      <c r="N35">
        <v>9.3985E-4</v>
      </c>
      <c r="O35">
        <v>2.8195490000000002E-3</v>
      </c>
      <c r="P35">
        <v>0</v>
      </c>
      <c r="Q35">
        <v>2.8195490000000002E-3</v>
      </c>
      <c r="R35">
        <v>1064</v>
      </c>
      <c r="S35" t="s">
        <v>301</v>
      </c>
      <c r="T35" t="s">
        <v>298</v>
      </c>
    </row>
    <row r="36" spans="1:20" x14ac:dyDescent="0.25">
      <c r="A36" t="s">
        <v>30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f t="shared" si="0"/>
        <v>2</v>
      </c>
      <c r="K36">
        <v>1.233046E-3</v>
      </c>
      <c r="L36">
        <v>1.972873E-2</v>
      </c>
      <c r="M36">
        <v>9.8643649999999999E-3</v>
      </c>
      <c r="N36">
        <v>0</v>
      </c>
      <c r="O36">
        <v>6.165228E-3</v>
      </c>
      <c r="P36">
        <v>4.9321820000000002E-3</v>
      </c>
      <c r="Q36">
        <v>3.6991369999999999E-3</v>
      </c>
      <c r="R36">
        <v>811</v>
      </c>
      <c r="S36" t="s">
        <v>299</v>
      </c>
      <c r="T36" t="s">
        <v>280</v>
      </c>
    </row>
    <row r="37" spans="1:20" x14ac:dyDescent="0.25">
      <c r="A37" t="s">
        <v>31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>
        <f t="shared" si="0"/>
        <v>2</v>
      </c>
      <c r="K37">
        <v>1.6016016000000001E-2</v>
      </c>
      <c r="L37">
        <v>5.6056056E-2</v>
      </c>
      <c r="M37">
        <v>6.0060060000000004E-3</v>
      </c>
      <c r="N37">
        <v>4.0040040000000002E-3</v>
      </c>
      <c r="O37">
        <v>5.0050049999999999E-3</v>
      </c>
      <c r="P37">
        <v>1.0010010000000001E-3</v>
      </c>
      <c r="Q37">
        <v>4.0040040000000002E-3</v>
      </c>
      <c r="R37">
        <v>999</v>
      </c>
      <c r="S37" t="s">
        <v>299</v>
      </c>
      <c r="T37" t="s">
        <v>281</v>
      </c>
    </row>
    <row r="38" spans="1:20" x14ac:dyDescent="0.25">
      <c r="A38" t="s">
        <v>32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>
        <f t="shared" si="0"/>
        <v>2</v>
      </c>
      <c r="K38">
        <v>7.6335880000000002E-3</v>
      </c>
      <c r="L38">
        <v>3.9694656000000002E-2</v>
      </c>
      <c r="M38">
        <v>3.0534350000000002E-3</v>
      </c>
      <c r="N38">
        <v>0</v>
      </c>
      <c r="O38">
        <v>7.6335880000000002E-3</v>
      </c>
      <c r="P38">
        <v>3.0534350000000002E-3</v>
      </c>
      <c r="Q38">
        <v>3.0534350000000002E-3</v>
      </c>
      <c r="R38">
        <v>655</v>
      </c>
      <c r="S38" t="s">
        <v>279</v>
      </c>
      <c r="T38" t="s">
        <v>285</v>
      </c>
    </row>
    <row r="39" spans="1:20" x14ac:dyDescent="0.25">
      <c r="A39" t="s">
        <v>33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f t="shared" si="0"/>
        <v>1</v>
      </c>
      <c r="K39">
        <v>1.0590014999999999E-2</v>
      </c>
      <c r="L39">
        <v>1.5128592999999999E-2</v>
      </c>
      <c r="M39">
        <v>3.0257190000000001E-3</v>
      </c>
      <c r="N39">
        <v>0</v>
      </c>
      <c r="O39">
        <v>2.2692889999999999E-3</v>
      </c>
      <c r="P39">
        <v>7.5642999999999999E-4</v>
      </c>
      <c r="Q39">
        <v>3.0257190000000001E-3</v>
      </c>
      <c r="R39">
        <v>1322</v>
      </c>
      <c r="S39" t="s">
        <v>299</v>
      </c>
      <c r="T39" t="s">
        <v>281</v>
      </c>
    </row>
    <row r="40" spans="1:20" x14ac:dyDescent="0.25">
      <c r="A40" t="s">
        <v>291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f t="shared" si="0"/>
        <v>7</v>
      </c>
      <c r="K40">
        <v>8.6011769999999998E-3</v>
      </c>
      <c r="L40">
        <v>4.1195111E-2</v>
      </c>
      <c r="M40">
        <v>4.0742419999999996E-3</v>
      </c>
      <c r="N40">
        <v>1.3580809999999999E-3</v>
      </c>
      <c r="O40">
        <v>1.0864644999999999E-2</v>
      </c>
      <c r="P40">
        <v>1.810774E-3</v>
      </c>
      <c r="Q40">
        <v>2.2634679999999998E-3</v>
      </c>
      <c r="R40">
        <v>2209</v>
      </c>
      <c r="S40" t="s">
        <v>301</v>
      </c>
      <c r="T40" t="s">
        <v>298</v>
      </c>
    </row>
    <row r="41" spans="1:20" x14ac:dyDescent="0.25">
      <c r="A41" t="s">
        <v>34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f t="shared" si="0"/>
        <v>2</v>
      </c>
      <c r="K41">
        <v>1.7000000000000001E-2</v>
      </c>
      <c r="L41">
        <v>3.2000000000000001E-2</v>
      </c>
      <c r="M41">
        <v>5.0000000000000001E-3</v>
      </c>
      <c r="N41">
        <v>0</v>
      </c>
      <c r="O41">
        <v>5.0000000000000001E-3</v>
      </c>
      <c r="P41">
        <v>3.0000000000000001E-3</v>
      </c>
      <c r="Q41">
        <v>1E-3</v>
      </c>
      <c r="R41">
        <v>1000</v>
      </c>
      <c r="S41" t="s">
        <v>299</v>
      </c>
      <c r="T41" t="s">
        <v>285</v>
      </c>
    </row>
    <row r="42" spans="1:20" x14ac:dyDescent="0.25">
      <c r="A42" t="s">
        <v>35</v>
      </c>
      <c r="B42">
        <v>1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>
        <f t="shared" si="0"/>
        <v>3</v>
      </c>
      <c r="K42">
        <v>1.4604811000000001E-2</v>
      </c>
      <c r="L42">
        <v>2.7491409000000001E-2</v>
      </c>
      <c r="M42">
        <v>1.0309278E-2</v>
      </c>
      <c r="N42">
        <v>1.7182129999999999E-3</v>
      </c>
      <c r="O42">
        <v>8.5910650000000002E-3</v>
      </c>
      <c r="P42">
        <v>4.2955329999999998E-3</v>
      </c>
      <c r="Q42">
        <v>5.1546389999999999E-3</v>
      </c>
      <c r="R42">
        <v>1164</v>
      </c>
      <c r="S42" t="s">
        <v>299</v>
      </c>
      <c r="T42" t="s">
        <v>281</v>
      </c>
    </row>
    <row r="43" spans="1:20" x14ac:dyDescent="0.25">
      <c r="A43" t="s">
        <v>36</v>
      </c>
      <c r="B43">
        <v>1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>
        <f t="shared" si="0"/>
        <v>3</v>
      </c>
      <c r="K43">
        <v>7.5062549999999999E-3</v>
      </c>
      <c r="L43">
        <v>3.1693078E-2</v>
      </c>
      <c r="M43">
        <v>1.0842368999999999E-2</v>
      </c>
      <c r="N43">
        <v>8.34028E-4</v>
      </c>
      <c r="O43">
        <v>5.8381980000000002E-3</v>
      </c>
      <c r="P43">
        <v>3.3361129999999999E-3</v>
      </c>
      <c r="Q43">
        <v>2.5020849999999998E-3</v>
      </c>
      <c r="R43">
        <v>1199</v>
      </c>
      <c r="S43" t="s">
        <v>279</v>
      </c>
      <c r="T43" t="s">
        <v>285</v>
      </c>
    </row>
    <row r="44" spans="1:20" x14ac:dyDescent="0.25">
      <c r="A44" t="s">
        <v>37</v>
      </c>
      <c r="B44">
        <v>1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>
        <f t="shared" si="0"/>
        <v>3</v>
      </c>
      <c r="K44">
        <v>1.9762849999999999E-3</v>
      </c>
      <c r="L44">
        <v>3.1620553000000003E-2</v>
      </c>
      <c r="M44">
        <v>3.9525690000000004E-3</v>
      </c>
      <c r="N44">
        <v>1.9762849999999999E-3</v>
      </c>
      <c r="O44">
        <v>1.1857708E-2</v>
      </c>
      <c r="P44">
        <v>1.9762849999999999E-3</v>
      </c>
      <c r="Q44">
        <v>3.9525690000000004E-3</v>
      </c>
      <c r="R44">
        <v>506</v>
      </c>
      <c r="S44" t="s">
        <v>299</v>
      </c>
      <c r="T44" t="s">
        <v>283</v>
      </c>
    </row>
    <row r="45" spans="1:20" x14ac:dyDescent="0.25">
      <c r="A45" t="s">
        <v>38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f t="shared" si="0"/>
        <v>1</v>
      </c>
      <c r="K45">
        <v>7.352941E-3</v>
      </c>
      <c r="L45">
        <v>3.5294117999999999E-2</v>
      </c>
      <c r="M45">
        <v>4.4117649999999998E-3</v>
      </c>
      <c r="N45">
        <v>7.352941E-3</v>
      </c>
      <c r="O45">
        <v>1.4705880000000001E-3</v>
      </c>
      <c r="P45">
        <v>0</v>
      </c>
      <c r="Q45">
        <v>4.4117649999999998E-3</v>
      </c>
      <c r="R45">
        <v>680</v>
      </c>
      <c r="S45" t="s">
        <v>659</v>
      </c>
      <c r="T45" t="s">
        <v>284</v>
      </c>
    </row>
    <row r="46" spans="1:20" x14ac:dyDescent="0.25">
      <c r="A46" t="s">
        <v>39</v>
      </c>
      <c r="B46">
        <v>1</v>
      </c>
      <c r="C46">
        <v>1</v>
      </c>
      <c r="D46">
        <v>1</v>
      </c>
      <c r="E46">
        <v>1</v>
      </c>
      <c r="F46">
        <v>0</v>
      </c>
      <c r="G46">
        <v>0</v>
      </c>
      <c r="H46">
        <v>0</v>
      </c>
      <c r="I46">
        <v>1</v>
      </c>
      <c r="J46">
        <f t="shared" si="0"/>
        <v>5</v>
      </c>
      <c r="K46">
        <v>6.9848660000000002E-3</v>
      </c>
      <c r="L46">
        <v>2.9103608999999999E-2</v>
      </c>
      <c r="M46">
        <v>2.3282889999999999E-3</v>
      </c>
      <c r="N46">
        <v>2.3282889999999999E-3</v>
      </c>
      <c r="O46">
        <v>2.3282889999999999E-3</v>
      </c>
      <c r="P46">
        <v>0</v>
      </c>
      <c r="Q46">
        <v>4.6565770000000003E-3</v>
      </c>
      <c r="R46">
        <v>859</v>
      </c>
      <c r="S46" t="s">
        <v>299</v>
      </c>
      <c r="T46" t="s">
        <v>295</v>
      </c>
    </row>
    <row r="47" spans="1:20" x14ac:dyDescent="0.25">
      <c r="A47" t="s">
        <v>40</v>
      </c>
      <c r="B47">
        <v>1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f t="shared" si="0"/>
        <v>2</v>
      </c>
      <c r="K47">
        <v>1.0165184000000001E-2</v>
      </c>
      <c r="L47">
        <v>2.6683609E-2</v>
      </c>
      <c r="M47">
        <v>1.0165184000000001E-2</v>
      </c>
      <c r="N47">
        <v>1.2706480000000001E-3</v>
      </c>
      <c r="O47">
        <v>3.8119439999999998E-3</v>
      </c>
      <c r="P47">
        <v>6.3532399999999996E-3</v>
      </c>
      <c r="Q47">
        <v>0</v>
      </c>
      <c r="R47">
        <v>787</v>
      </c>
      <c r="S47" t="s">
        <v>659</v>
      </c>
      <c r="T47" t="s">
        <v>285</v>
      </c>
    </row>
    <row r="48" spans="1:20" x14ac:dyDescent="0.25">
      <c r="A48" t="s">
        <v>41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f t="shared" si="0"/>
        <v>1</v>
      </c>
      <c r="K48">
        <v>1.0638297999999999E-2</v>
      </c>
      <c r="L48">
        <v>3.6170213E-2</v>
      </c>
      <c r="M48">
        <v>1.2765957E-2</v>
      </c>
      <c r="N48">
        <v>0</v>
      </c>
      <c r="O48">
        <v>2.12766E-3</v>
      </c>
      <c r="P48">
        <v>2.12766E-3</v>
      </c>
      <c r="Q48">
        <v>2.12766E-3</v>
      </c>
      <c r="R48">
        <v>470</v>
      </c>
      <c r="S48" t="s">
        <v>659</v>
      </c>
      <c r="T48" t="s">
        <v>282</v>
      </c>
    </row>
    <row r="49" spans="1:20" x14ac:dyDescent="0.25">
      <c r="A49" t="s">
        <v>42</v>
      </c>
      <c r="B49">
        <v>0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f t="shared" si="0"/>
        <v>2</v>
      </c>
      <c r="K49">
        <v>1.6051363999999999E-2</v>
      </c>
      <c r="L49">
        <v>1.9261637000000002E-2</v>
      </c>
      <c r="M49">
        <v>3.210273E-3</v>
      </c>
      <c r="N49">
        <v>1.1235955000000001E-2</v>
      </c>
      <c r="O49">
        <v>4.8154089999999997E-3</v>
      </c>
      <c r="P49">
        <v>1.6051360000000001E-3</v>
      </c>
      <c r="Q49">
        <v>1.6051360000000001E-3</v>
      </c>
      <c r="R49">
        <v>623</v>
      </c>
      <c r="S49" t="s">
        <v>659</v>
      </c>
      <c r="T49" t="s">
        <v>285</v>
      </c>
    </row>
    <row r="50" spans="1:20" x14ac:dyDescent="0.25">
      <c r="A50" t="s">
        <v>43</v>
      </c>
      <c r="B50">
        <v>1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  <c r="J50">
        <f t="shared" si="0"/>
        <v>3</v>
      </c>
      <c r="K50">
        <v>6.7314879999999999E-3</v>
      </c>
      <c r="L50">
        <v>2.1690352E-2</v>
      </c>
      <c r="M50">
        <v>6.7314879999999999E-3</v>
      </c>
      <c r="N50">
        <v>0</v>
      </c>
      <c r="O50">
        <v>0</v>
      </c>
      <c r="P50">
        <v>7.4794300000000005E-4</v>
      </c>
      <c r="Q50">
        <v>1.4958860000000001E-3</v>
      </c>
      <c r="R50">
        <v>1337</v>
      </c>
      <c r="S50" t="s">
        <v>301</v>
      </c>
      <c r="T50" t="s">
        <v>297</v>
      </c>
    </row>
    <row r="51" spans="1:20" x14ac:dyDescent="0.25">
      <c r="A51" t="s">
        <v>44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f t="shared" si="0"/>
        <v>1</v>
      </c>
      <c r="K51">
        <v>8.9153050000000001E-3</v>
      </c>
      <c r="L51">
        <v>5.6463595999999998E-2</v>
      </c>
      <c r="M51">
        <v>2.9717680000000001E-3</v>
      </c>
      <c r="N51">
        <v>0</v>
      </c>
      <c r="O51">
        <v>1.485884E-3</v>
      </c>
      <c r="P51">
        <v>0</v>
      </c>
      <c r="Q51">
        <v>1.485884E-3</v>
      </c>
      <c r="R51">
        <v>673</v>
      </c>
      <c r="S51" t="s">
        <v>279</v>
      </c>
      <c r="T51" t="s">
        <v>285</v>
      </c>
    </row>
    <row r="52" spans="1:20" x14ac:dyDescent="0.25">
      <c r="A52" t="s">
        <v>45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f t="shared" si="0"/>
        <v>1</v>
      </c>
      <c r="K52">
        <v>2.3255814E-2</v>
      </c>
      <c r="L52">
        <v>2.9069767E-2</v>
      </c>
      <c r="M52">
        <v>9.6899220000000001E-3</v>
      </c>
      <c r="N52">
        <v>1.937984E-3</v>
      </c>
      <c r="O52">
        <v>3.8759689999999999E-3</v>
      </c>
      <c r="P52">
        <v>1.937984E-3</v>
      </c>
      <c r="Q52">
        <v>0</v>
      </c>
      <c r="R52">
        <v>516</v>
      </c>
      <c r="S52" t="s">
        <v>299</v>
      </c>
      <c r="T52" t="s">
        <v>283</v>
      </c>
    </row>
    <row r="53" spans="1:20" x14ac:dyDescent="0.25">
      <c r="A53" t="s">
        <v>46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1</v>
      </c>
      <c r="J53">
        <f t="shared" si="0"/>
        <v>2</v>
      </c>
      <c r="K53">
        <v>1.6666667E-2</v>
      </c>
      <c r="L53">
        <v>3.4523810000000002E-2</v>
      </c>
      <c r="M53">
        <v>3.5714290000000001E-3</v>
      </c>
      <c r="N53">
        <v>5.9523809999999996E-3</v>
      </c>
      <c r="O53">
        <v>7.1428569999999999E-3</v>
      </c>
      <c r="P53">
        <v>2.380952E-3</v>
      </c>
      <c r="Q53">
        <v>2.380952E-3</v>
      </c>
      <c r="R53">
        <v>840</v>
      </c>
      <c r="S53" t="s">
        <v>299</v>
      </c>
      <c r="T53" t="s">
        <v>285</v>
      </c>
    </row>
    <row r="54" spans="1:20" x14ac:dyDescent="0.25">
      <c r="A54" t="s">
        <v>47</v>
      </c>
      <c r="B54">
        <v>1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f t="shared" si="0"/>
        <v>2</v>
      </c>
      <c r="K54">
        <v>8.7847729999999992E-3</v>
      </c>
      <c r="L54">
        <v>4.0995608000000003E-2</v>
      </c>
      <c r="M54">
        <v>4.3923870000000002E-3</v>
      </c>
      <c r="N54">
        <v>0</v>
      </c>
      <c r="O54">
        <v>2.928258E-3</v>
      </c>
      <c r="P54">
        <v>2.928258E-3</v>
      </c>
      <c r="Q54">
        <v>0</v>
      </c>
      <c r="R54">
        <v>683</v>
      </c>
      <c r="S54" t="s">
        <v>299</v>
      </c>
      <c r="T54" t="s">
        <v>295</v>
      </c>
    </row>
    <row r="55" spans="1:20" x14ac:dyDescent="0.25">
      <c r="A55" t="s">
        <v>48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f t="shared" si="0"/>
        <v>1</v>
      </c>
      <c r="K55">
        <v>2.48139E-3</v>
      </c>
      <c r="L55">
        <v>3.2258065000000002E-2</v>
      </c>
      <c r="M55">
        <v>2.48139E-3</v>
      </c>
      <c r="N55">
        <v>0</v>
      </c>
      <c r="O55">
        <v>9.9255579999999993E-3</v>
      </c>
      <c r="P55">
        <v>0</v>
      </c>
      <c r="Q55">
        <v>0</v>
      </c>
      <c r="R55">
        <v>403</v>
      </c>
      <c r="S55" t="s">
        <v>659</v>
      </c>
      <c r="T55" t="s">
        <v>284</v>
      </c>
    </row>
    <row r="56" spans="1:20" x14ac:dyDescent="0.25">
      <c r="A56" t="s">
        <v>49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f t="shared" si="0"/>
        <v>1</v>
      </c>
      <c r="K56">
        <v>2.7397260000000001E-3</v>
      </c>
      <c r="L56">
        <v>3.8356163999999998E-2</v>
      </c>
      <c r="M56">
        <v>4.1095890000000003E-3</v>
      </c>
      <c r="N56">
        <v>0</v>
      </c>
      <c r="O56">
        <v>5.4794520000000001E-3</v>
      </c>
      <c r="P56">
        <v>2.7397260000000001E-3</v>
      </c>
      <c r="Q56">
        <v>0</v>
      </c>
      <c r="R56">
        <v>730</v>
      </c>
      <c r="S56" t="s">
        <v>301</v>
      </c>
      <c r="T56" t="s">
        <v>285</v>
      </c>
    </row>
    <row r="57" spans="1:20" x14ac:dyDescent="0.25">
      <c r="A57" t="s">
        <v>50</v>
      </c>
      <c r="B57">
        <v>1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f t="shared" si="0"/>
        <v>3</v>
      </c>
      <c r="K57">
        <v>6.1274509999999999E-3</v>
      </c>
      <c r="L57">
        <v>4.0441176000000002E-2</v>
      </c>
      <c r="M57">
        <v>0</v>
      </c>
      <c r="N57">
        <v>1.2254900000000001E-3</v>
      </c>
      <c r="O57">
        <v>8.5784309999999992E-3</v>
      </c>
      <c r="P57">
        <v>0</v>
      </c>
      <c r="Q57">
        <v>7.352941E-3</v>
      </c>
      <c r="R57">
        <v>816</v>
      </c>
      <c r="S57" t="s">
        <v>279</v>
      </c>
      <c r="T57" t="s">
        <v>282</v>
      </c>
    </row>
    <row r="58" spans="1:20" x14ac:dyDescent="0.25">
      <c r="A58" t="s">
        <v>51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f t="shared" si="0"/>
        <v>1</v>
      </c>
      <c r="K58">
        <v>1.7543860000000001E-2</v>
      </c>
      <c r="L58">
        <v>2.8508772000000002E-2</v>
      </c>
      <c r="M58">
        <v>2.192982E-3</v>
      </c>
      <c r="N58">
        <v>0</v>
      </c>
      <c r="O58">
        <v>8.7719300000000007E-3</v>
      </c>
      <c r="P58">
        <v>0</v>
      </c>
      <c r="Q58">
        <v>2.192982E-3</v>
      </c>
      <c r="R58">
        <v>456</v>
      </c>
      <c r="S58" t="s">
        <v>279</v>
      </c>
      <c r="T58" t="s">
        <v>295</v>
      </c>
    </row>
    <row r="59" spans="1:20" x14ac:dyDescent="0.25">
      <c r="A59" t="s">
        <v>52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f t="shared" si="0"/>
        <v>1</v>
      </c>
      <c r="K59">
        <v>3.8759689999999999E-3</v>
      </c>
      <c r="L59">
        <v>5.2325581000000003E-2</v>
      </c>
      <c r="M59">
        <v>7.7519379999999999E-3</v>
      </c>
      <c r="N59">
        <v>0</v>
      </c>
      <c r="O59">
        <v>1.937984E-3</v>
      </c>
      <c r="P59">
        <v>1.937984E-3</v>
      </c>
      <c r="Q59">
        <v>1.937984E-3</v>
      </c>
      <c r="R59">
        <v>516</v>
      </c>
      <c r="S59" t="s">
        <v>301</v>
      </c>
      <c r="T59" t="s">
        <v>285</v>
      </c>
    </row>
    <row r="60" spans="1:20" x14ac:dyDescent="0.25">
      <c r="A60" t="s">
        <v>53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f t="shared" si="0"/>
        <v>0</v>
      </c>
      <c r="K60">
        <v>9.1575089999999994E-3</v>
      </c>
      <c r="L60">
        <v>4.7619047999999997E-2</v>
      </c>
      <c r="M60">
        <v>1.2820513E-2</v>
      </c>
      <c r="N60">
        <v>0</v>
      </c>
      <c r="O60">
        <v>3.6630040000000001E-3</v>
      </c>
      <c r="P60">
        <v>1.831502E-3</v>
      </c>
      <c r="Q60">
        <v>5.4945050000000002E-3</v>
      </c>
      <c r="R60">
        <v>546</v>
      </c>
      <c r="S60" t="s">
        <v>299</v>
      </c>
      <c r="T60" t="s">
        <v>285</v>
      </c>
    </row>
    <row r="61" spans="1:20" x14ac:dyDescent="0.25">
      <c r="A61" t="s">
        <v>54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f t="shared" si="0"/>
        <v>2</v>
      </c>
      <c r="K61">
        <v>1.8828451999999999E-2</v>
      </c>
      <c r="L61">
        <v>3.1380752999999997E-2</v>
      </c>
      <c r="M61">
        <v>4.1840999999999996E-3</v>
      </c>
      <c r="N61">
        <v>0</v>
      </c>
      <c r="O61">
        <v>4.1840999999999996E-3</v>
      </c>
      <c r="P61">
        <v>4.1840999999999996E-3</v>
      </c>
      <c r="Q61">
        <v>2.0920499999999998E-3</v>
      </c>
      <c r="R61">
        <v>478</v>
      </c>
      <c r="S61" t="s">
        <v>659</v>
      </c>
      <c r="T61" t="s">
        <v>283</v>
      </c>
    </row>
    <row r="62" spans="1:20" x14ac:dyDescent="0.25">
      <c r="A62" t="s">
        <v>55</v>
      </c>
      <c r="B62">
        <v>1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1</v>
      </c>
      <c r="J62">
        <f t="shared" si="0"/>
        <v>3</v>
      </c>
      <c r="K62">
        <v>2.873563E-3</v>
      </c>
      <c r="L62">
        <v>4.8850575E-2</v>
      </c>
      <c r="M62">
        <v>0</v>
      </c>
      <c r="N62">
        <v>0</v>
      </c>
      <c r="O62">
        <v>4.3103450000000001E-3</v>
      </c>
      <c r="P62">
        <v>0</v>
      </c>
      <c r="Q62">
        <v>4.3103450000000001E-3</v>
      </c>
      <c r="R62">
        <v>696</v>
      </c>
      <c r="S62" t="s">
        <v>301</v>
      </c>
      <c r="T62" t="s">
        <v>285</v>
      </c>
    </row>
    <row r="63" spans="1:20" x14ac:dyDescent="0.25">
      <c r="A63" t="s">
        <v>56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1</v>
      </c>
      <c r="J63">
        <f t="shared" si="0"/>
        <v>2</v>
      </c>
      <c r="K63">
        <v>1.9704433E-2</v>
      </c>
      <c r="L63">
        <v>2.955665E-2</v>
      </c>
      <c r="M63">
        <v>4.9261080000000002E-3</v>
      </c>
      <c r="N63">
        <v>0</v>
      </c>
      <c r="O63">
        <v>4.9261080000000002E-3</v>
      </c>
      <c r="P63">
        <v>0</v>
      </c>
      <c r="Q63">
        <v>1.6420359999999999E-3</v>
      </c>
      <c r="R63">
        <v>609</v>
      </c>
      <c r="S63" t="s">
        <v>279</v>
      </c>
      <c r="T63" t="s">
        <v>295</v>
      </c>
    </row>
    <row r="64" spans="1:20" x14ac:dyDescent="0.25">
      <c r="A64" t="s">
        <v>57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f t="shared" si="0"/>
        <v>1</v>
      </c>
      <c r="K64">
        <v>0</v>
      </c>
      <c r="L64">
        <v>4.4117647000000003E-2</v>
      </c>
      <c r="M64">
        <v>0</v>
      </c>
      <c r="N64">
        <v>0</v>
      </c>
      <c r="O64">
        <v>1.1764706E-2</v>
      </c>
      <c r="P64">
        <v>0</v>
      </c>
      <c r="Q64">
        <v>2.9411760000000002E-3</v>
      </c>
      <c r="R64">
        <v>340</v>
      </c>
      <c r="S64" t="s">
        <v>301</v>
      </c>
      <c r="T64" t="s">
        <v>280</v>
      </c>
    </row>
    <row r="65" spans="1:20" x14ac:dyDescent="0.25">
      <c r="A65" t="s">
        <v>58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1</v>
      </c>
      <c r="J65">
        <f t="shared" si="0"/>
        <v>3</v>
      </c>
      <c r="K65">
        <v>1.4201182999999999E-2</v>
      </c>
      <c r="L65">
        <v>4.7337278000000003E-2</v>
      </c>
      <c r="M65">
        <v>8.2840239999999992E-3</v>
      </c>
      <c r="N65">
        <v>0</v>
      </c>
      <c r="O65">
        <v>9.4674560000000008E-3</v>
      </c>
      <c r="P65">
        <v>1.1834320000000001E-3</v>
      </c>
      <c r="Q65">
        <v>0</v>
      </c>
      <c r="R65">
        <v>845</v>
      </c>
      <c r="S65" t="s">
        <v>299</v>
      </c>
      <c r="T65" t="s">
        <v>285</v>
      </c>
    </row>
    <row r="66" spans="1:20" x14ac:dyDescent="0.25">
      <c r="A66" t="s">
        <v>59</v>
      </c>
      <c r="B66">
        <v>1</v>
      </c>
      <c r="C66">
        <v>0</v>
      </c>
      <c r="D66">
        <v>1</v>
      </c>
      <c r="E66">
        <v>1</v>
      </c>
      <c r="F66">
        <v>0</v>
      </c>
      <c r="G66">
        <v>0</v>
      </c>
      <c r="H66">
        <v>1</v>
      </c>
      <c r="I66">
        <v>1</v>
      </c>
      <c r="J66">
        <f t="shared" si="0"/>
        <v>5</v>
      </c>
      <c r="K66">
        <v>9.7309670000000001E-3</v>
      </c>
      <c r="L66">
        <v>4.6937606999999999E-2</v>
      </c>
      <c r="M66">
        <v>3.4344589999999999E-3</v>
      </c>
      <c r="N66">
        <v>0</v>
      </c>
      <c r="O66">
        <v>6.2965080000000001E-3</v>
      </c>
      <c r="P66">
        <v>1.7172299999999999E-3</v>
      </c>
      <c r="Q66">
        <v>1.14482E-3</v>
      </c>
      <c r="R66">
        <v>1747</v>
      </c>
      <c r="S66" t="s">
        <v>301</v>
      </c>
      <c r="T66" t="s">
        <v>282</v>
      </c>
    </row>
    <row r="67" spans="1:20" x14ac:dyDescent="0.25">
      <c r="A67" t="s">
        <v>60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f t="shared" ref="J67:J130" si="1">SUM(B67:I67)</f>
        <v>1</v>
      </c>
      <c r="K67">
        <v>2.2900763000000001E-2</v>
      </c>
      <c r="L67">
        <v>3.4351145E-2</v>
      </c>
      <c r="M67">
        <v>1.908397E-3</v>
      </c>
      <c r="N67">
        <v>1.908397E-3</v>
      </c>
      <c r="O67">
        <v>9.5419849999999994E-3</v>
      </c>
      <c r="P67">
        <v>1.908397E-3</v>
      </c>
      <c r="Q67">
        <v>0</v>
      </c>
      <c r="R67">
        <v>524</v>
      </c>
      <c r="S67" t="s">
        <v>279</v>
      </c>
      <c r="T67" t="s">
        <v>285</v>
      </c>
    </row>
    <row r="68" spans="1:20" x14ac:dyDescent="0.25">
      <c r="A68" t="s">
        <v>61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1</v>
      </c>
      <c r="J68">
        <f t="shared" si="1"/>
        <v>2</v>
      </c>
      <c r="K68">
        <v>2.331002E-3</v>
      </c>
      <c r="L68">
        <v>3.1468531000000001E-2</v>
      </c>
      <c r="M68">
        <v>4.6620050000000003E-3</v>
      </c>
      <c r="N68">
        <v>0</v>
      </c>
      <c r="O68">
        <v>5.8275059999999997E-3</v>
      </c>
      <c r="P68">
        <v>2.331002E-3</v>
      </c>
      <c r="Q68">
        <v>0</v>
      </c>
      <c r="R68">
        <v>858</v>
      </c>
      <c r="S68" t="s">
        <v>301</v>
      </c>
      <c r="T68" t="s">
        <v>296</v>
      </c>
    </row>
    <row r="69" spans="1:20" x14ac:dyDescent="0.25">
      <c r="A69" t="s">
        <v>62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f t="shared" si="1"/>
        <v>2</v>
      </c>
      <c r="K69">
        <v>1.1764709999999999E-3</v>
      </c>
      <c r="L69">
        <v>2.2352941000000001E-2</v>
      </c>
      <c r="M69">
        <v>3.529412E-3</v>
      </c>
      <c r="N69">
        <v>0</v>
      </c>
      <c r="O69">
        <v>5.8823529999999999E-3</v>
      </c>
      <c r="P69">
        <v>2.3529409999999999E-3</v>
      </c>
      <c r="Q69">
        <v>7.058824E-3</v>
      </c>
      <c r="R69">
        <v>850</v>
      </c>
      <c r="S69" t="s">
        <v>301</v>
      </c>
      <c r="T69" t="s">
        <v>285</v>
      </c>
    </row>
    <row r="70" spans="1:20" x14ac:dyDescent="0.25">
      <c r="A70" t="s">
        <v>63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1</v>
      </c>
      <c r="J70">
        <f t="shared" si="1"/>
        <v>2</v>
      </c>
      <c r="K70">
        <v>8.6206900000000003E-3</v>
      </c>
      <c r="L70">
        <v>3.3045976999999997E-2</v>
      </c>
      <c r="M70">
        <v>4.3103450000000001E-3</v>
      </c>
      <c r="N70">
        <v>2.873563E-3</v>
      </c>
      <c r="O70">
        <v>7.1839080000000001E-3</v>
      </c>
      <c r="P70">
        <v>0</v>
      </c>
      <c r="Q70">
        <v>5.747126E-3</v>
      </c>
      <c r="R70">
        <v>696</v>
      </c>
      <c r="S70" t="s">
        <v>299</v>
      </c>
      <c r="T70" t="s">
        <v>280</v>
      </c>
    </row>
    <row r="71" spans="1:20" x14ac:dyDescent="0.25">
      <c r="A71" t="s">
        <v>64</v>
      </c>
      <c r="B71">
        <v>1</v>
      </c>
      <c r="C71">
        <v>1</v>
      </c>
      <c r="D71">
        <v>1</v>
      </c>
      <c r="E71">
        <v>1</v>
      </c>
      <c r="F71">
        <v>0</v>
      </c>
      <c r="G71">
        <v>0</v>
      </c>
      <c r="H71">
        <v>0</v>
      </c>
      <c r="I71">
        <v>1</v>
      </c>
      <c r="J71">
        <f t="shared" si="1"/>
        <v>5</v>
      </c>
      <c r="K71">
        <v>1.1597938E-2</v>
      </c>
      <c r="L71">
        <v>2.7706186000000001E-2</v>
      </c>
      <c r="M71">
        <v>5.1546389999999999E-3</v>
      </c>
      <c r="N71">
        <v>2.5773200000000001E-3</v>
      </c>
      <c r="O71">
        <v>7.7319590000000001E-3</v>
      </c>
      <c r="P71">
        <v>3.221649E-3</v>
      </c>
      <c r="Q71">
        <v>1.9329900000000001E-3</v>
      </c>
      <c r="R71">
        <v>1552</v>
      </c>
      <c r="S71" t="s">
        <v>279</v>
      </c>
      <c r="T71" t="s">
        <v>285</v>
      </c>
    </row>
    <row r="72" spans="1:20" x14ac:dyDescent="0.25">
      <c r="A72" t="s">
        <v>65</v>
      </c>
      <c r="B72">
        <v>1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1</v>
      </c>
      <c r="J72">
        <f t="shared" si="1"/>
        <v>3</v>
      </c>
      <c r="K72">
        <v>2.0725389E-2</v>
      </c>
      <c r="L72">
        <v>4.0414508000000002E-2</v>
      </c>
      <c r="M72">
        <v>6.2176169999999999E-3</v>
      </c>
      <c r="N72">
        <v>5.1813470000000002E-3</v>
      </c>
      <c r="O72">
        <v>1.0362694E-2</v>
      </c>
      <c r="P72">
        <v>3.1088079999999998E-3</v>
      </c>
      <c r="Q72">
        <v>1.036269E-3</v>
      </c>
      <c r="R72">
        <v>965</v>
      </c>
      <c r="S72" t="s">
        <v>279</v>
      </c>
      <c r="T72" t="s">
        <v>297</v>
      </c>
    </row>
    <row r="73" spans="1:20" x14ac:dyDescent="0.25">
      <c r="A73" t="s">
        <v>66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f t="shared" si="1"/>
        <v>1</v>
      </c>
      <c r="K73">
        <v>7.566204E-3</v>
      </c>
      <c r="L73">
        <v>2.7742749000000001E-2</v>
      </c>
      <c r="M73">
        <v>2.5220680000000001E-3</v>
      </c>
      <c r="N73">
        <v>0</v>
      </c>
      <c r="O73">
        <v>8.8272379999999994E-3</v>
      </c>
      <c r="P73">
        <v>2.5220680000000001E-3</v>
      </c>
      <c r="Q73">
        <v>2.5220680000000001E-3</v>
      </c>
      <c r="R73">
        <v>793</v>
      </c>
      <c r="S73" t="s">
        <v>659</v>
      </c>
      <c r="T73" t="s">
        <v>285</v>
      </c>
    </row>
    <row r="74" spans="1:20" x14ac:dyDescent="0.25">
      <c r="A74" t="s">
        <v>292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f t="shared" si="1"/>
        <v>1</v>
      </c>
      <c r="K74">
        <v>1.9354838999999999E-2</v>
      </c>
      <c r="L74">
        <v>4.0322581000000003E-2</v>
      </c>
      <c r="M74">
        <v>3.2258059999999999E-3</v>
      </c>
      <c r="N74">
        <v>1.6129029999999999E-3</v>
      </c>
      <c r="O74">
        <v>0</v>
      </c>
      <c r="P74">
        <v>3.2258059999999999E-3</v>
      </c>
      <c r="Q74">
        <v>0</v>
      </c>
      <c r="R74">
        <v>620</v>
      </c>
      <c r="S74" t="s">
        <v>299</v>
      </c>
      <c r="T74" t="s">
        <v>297</v>
      </c>
    </row>
    <row r="75" spans="1:20" x14ac:dyDescent="0.25">
      <c r="A75" t="s">
        <v>67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f t="shared" si="1"/>
        <v>1</v>
      </c>
      <c r="K75">
        <v>3.9840639999999998E-3</v>
      </c>
      <c r="L75">
        <v>5.9760955999999997E-2</v>
      </c>
      <c r="M75">
        <v>0</v>
      </c>
      <c r="N75">
        <v>0</v>
      </c>
      <c r="O75">
        <v>1.1952190999999999E-2</v>
      </c>
      <c r="P75">
        <v>0</v>
      </c>
      <c r="Q75">
        <v>0</v>
      </c>
      <c r="R75">
        <v>502</v>
      </c>
      <c r="S75" t="s">
        <v>659</v>
      </c>
      <c r="T75" t="s">
        <v>283</v>
      </c>
    </row>
    <row r="76" spans="1:20" x14ac:dyDescent="0.25">
      <c r="A76" t="s">
        <v>68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f t="shared" si="1"/>
        <v>1</v>
      </c>
      <c r="K76">
        <v>1.2121211999999999E-2</v>
      </c>
      <c r="L76">
        <v>3.2323232E-2</v>
      </c>
      <c r="M76">
        <v>4.040404E-3</v>
      </c>
      <c r="N76">
        <v>0</v>
      </c>
      <c r="O76">
        <v>4.040404E-3</v>
      </c>
      <c r="P76">
        <v>0</v>
      </c>
      <c r="Q76">
        <v>0</v>
      </c>
      <c r="R76">
        <v>495</v>
      </c>
      <c r="S76" t="s">
        <v>659</v>
      </c>
      <c r="T76" t="s">
        <v>283</v>
      </c>
    </row>
    <row r="77" spans="1:20" x14ac:dyDescent="0.25">
      <c r="A77" t="s">
        <v>69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f t="shared" si="1"/>
        <v>1</v>
      </c>
      <c r="K77">
        <v>1.3232514000000001E-2</v>
      </c>
      <c r="L77">
        <v>3.5916824E-2</v>
      </c>
      <c r="M77">
        <v>1.8903590000000001E-3</v>
      </c>
      <c r="N77">
        <v>1.8903590000000001E-3</v>
      </c>
      <c r="O77">
        <v>9.4517960000000002E-3</v>
      </c>
      <c r="P77">
        <v>0</v>
      </c>
      <c r="Q77">
        <v>0</v>
      </c>
      <c r="R77">
        <v>529</v>
      </c>
      <c r="S77" t="s">
        <v>299</v>
      </c>
      <c r="T77" t="s">
        <v>295</v>
      </c>
    </row>
    <row r="78" spans="1:20" x14ac:dyDescent="0.25">
      <c r="A78" t="s">
        <v>70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f t="shared" si="1"/>
        <v>1</v>
      </c>
      <c r="K78">
        <v>1.1235955000000001E-2</v>
      </c>
      <c r="L78">
        <v>3.1460674000000001E-2</v>
      </c>
      <c r="M78">
        <v>0</v>
      </c>
      <c r="N78">
        <v>2.2471909999999999E-3</v>
      </c>
      <c r="O78">
        <v>0</v>
      </c>
      <c r="P78">
        <v>0</v>
      </c>
      <c r="Q78">
        <v>0</v>
      </c>
      <c r="R78">
        <v>445</v>
      </c>
      <c r="S78" t="s">
        <v>659</v>
      </c>
      <c r="T78" t="s">
        <v>283</v>
      </c>
    </row>
    <row r="79" spans="1:20" x14ac:dyDescent="0.25">
      <c r="A79" t="s">
        <v>71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  <c r="J79">
        <f t="shared" si="1"/>
        <v>3</v>
      </c>
      <c r="K79">
        <v>1.7714790000000001E-3</v>
      </c>
      <c r="L79">
        <v>3.9858282000000002E-2</v>
      </c>
      <c r="M79">
        <v>3.5429580000000001E-3</v>
      </c>
      <c r="N79">
        <v>1.7714790000000001E-3</v>
      </c>
      <c r="O79">
        <v>5.3144380000000003E-3</v>
      </c>
      <c r="P79">
        <v>0</v>
      </c>
      <c r="Q79">
        <v>1.7714790000000001E-3</v>
      </c>
      <c r="R79">
        <v>1129</v>
      </c>
      <c r="S79" t="s">
        <v>301</v>
      </c>
      <c r="T79" t="s">
        <v>281</v>
      </c>
    </row>
    <row r="80" spans="1:20" x14ac:dyDescent="0.25">
      <c r="A80" t="s">
        <v>72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f t="shared" si="1"/>
        <v>1</v>
      </c>
      <c r="K80">
        <v>1.0660979999999999E-3</v>
      </c>
      <c r="L80">
        <v>3.0916843999999999E-2</v>
      </c>
      <c r="M80">
        <v>3.198294E-3</v>
      </c>
      <c r="N80">
        <v>1.0660979999999999E-3</v>
      </c>
      <c r="O80">
        <v>3.198294E-3</v>
      </c>
      <c r="P80">
        <v>3.198294E-3</v>
      </c>
      <c r="Q80">
        <v>0</v>
      </c>
      <c r="R80">
        <v>938</v>
      </c>
      <c r="S80" t="s">
        <v>299</v>
      </c>
      <c r="T80" t="s">
        <v>295</v>
      </c>
    </row>
    <row r="81" spans="1:20" x14ac:dyDescent="0.25">
      <c r="A81" t="s">
        <v>73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1</v>
      </c>
      <c r="J81">
        <f t="shared" si="1"/>
        <v>2</v>
      </c>
      <c r="K81">
        <v>1.7364658000000002E-2</v>
      </c>
      <c r="L81">
        <v>3.5750766000000003E-2</v>
      </c>
      <c r="M81">
        <v>2.0429010000000002E-3</v>
      </c>
      <c r="N81">
        <v>0</v>
      </c>
      <c r="O81">
        <v>1.2257406E-2</v>
      </c>
      <c r="P81">
        <v>0</v>
      </c>
      <c r="Q81">
        <v>0</v>
      </c>
      <c r="R81">
        <v>979</v>
      </c>
      <c r="S81" t="s">
        <v>279</v>
      </c>
      <c r="T81" t="s">
        <v>295</v>
      </c>
    </row>
    <row r="82" spans="1:20" x14ac:dyDescent="0.25">
      <c r="A82" t="s">
        <v>74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1</v>
      </c>
      <c r="J82">
        <f t="shared" si="1"/>
        <v>2</v>
      </c>
      <c r="K82">
        <v>8.6848640000000005E-3</v>
      </c>
      <c r="L82">
        <v>2.8535979999999999E-2</v>
      </c>
      <c r="M82">
        <v>4.9627789999999996E-3</v>
      </c>
      <c r="N82">
        <v>0</v>
      </c>
      <c r="O82">
        <v>4.9627789999999996E-3</v>
      </c>
      <c r="P82">
        <v>1.240695E-3</v>
      </c>
      <c r="Q82">
        <v>0</v>
      </c>
      <c r="R82">
        <v>806</v>
      </c>
      <c r="S82" t="s">
        <v>659</v>
      </c>
      <c r="T82" t="s">
        <v>285</v>
      </c>
    </row>
    <row r="83" spans="1:20" x14ac:dyDescent="0.25">
      <c r="A83" t="s">
        <v>75</v>
      </c>
      <c r="B83">
        <v>0</v>
      </c>
      <c r="C83">
        <v>0</v>
      </c>
      <c r="D83">
        <v>1</v>
      </c>
      <c r="E83">
        <v>1</v>
      </c>
      <c r="F83">
        <v>0</v>
      </c>
      <c r="G83">
        <v>0</v>
      </c>
      <c r="H83">
        <v>1</v>
      </c>
      <c r="I83">
        <v>1</v>
      </c>
      <c r="J83">
        <f t="shared" si="1"/>
        <v>4</v>
      </c>
      <c r="K83">
        <v>8.0367389999999993E-3</v>
      </c>
      <c r="L83">
        <v>5.0516647999999997E-2</v>
      </c>
      <c r="M83">
        <v>4.592423E-3</v>
      </c>
      <c r="N83">
        <v>2.2962109999999998E-3</v>
      </c>
      <c r="O83">
        <v>1.1481056E-2</v>
      </c>
      <c r="P83">
        <v>0</v>
      </c>
      <c r="Q83">
        <v>4.592423E-3</v>
      </c>
      <c r="R83">
        <v>871</v>
      </c>
      <c r="S83" t="s">
        <v>301</v>
      </c>
      <c r="T83" t="s">
        <v>285</v>
      </c>
    </row>
    <row r="84" spans="1:20" x14ac:dyDescent="0.25">
      <c r="A84" t="s">
        <v>76</v>
      </c>
      <c r="B84">
        <v>0</v>
      </c>
      <c r="C84">
        <v>0</v>
      </c>
      <c r="D84">
        <v>0</v>
      </c>
      <c r="E84">
        <v>1</v>
      </c>
      <c r="F84">
        <v>0</v>
      </c>
      <c r="G84">
        <v>1</v>
      </c>
      <c r="H84">
        <v>0</v>
      </c>
      <c r="I84">
        <v>1</v>
      </c>
      <c r="J84">
        <f t="shared" si="1"/>
        <v>3</v>
      </c>
      <c r="K84">
        <v>2.0533881E-2</v>
      </c>
      <c r="L84">
        <v>2.8747432999999999E-2</v>
      </c>
      <c r="M84">
        <v>7.186858E-3</v>
      </c>
      <c r="N84">
        <v>1.0266940000000001E-3</v>
      </c>
      <c r="O84">
        <v>8.2135520000000007E-3</v>
      </c>
      <c r="P84">
        <v>2.0533880000000002E-3</v>
      </c>
      <c r="Q84">
        <v>0</v>
      </c>
      <c r="R84">
        <v>974</v>
      </c>
      <c r="S84" t="s">
        <v>301</v>
      </c>
      <c r="T84" t="s">
        <v>280</v>
      </c>
    </row>
    <row r="85" spans="1:20" x14ac:dyDescent="0.25">
      <c r="A85" t="s">
        <v>77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1</v>
      </c>
      <c r="J85">
        <f t="shared" si="1"/>
        <v>2</v>
      </c>
      <c r="K85">
        <v>2.2026429999999998E-3</v>
      </c>
      <c r="L85">
        <v>4.9559471000000001E-2</v>
      </c>
      <c r="M85">
        <v>3.3039649999999999E-3</v>
      </c>
      <c r="N85">
        <v>0</v>
      </c>
      <c r="O85">
        <v>4.4052859999999996E-3</v>
      </c>
      <c r="P85">
        <v>1.1013220000000001E-3</v>
      </c>
      <c r="Q85">
        <v>0</v>
      </c>
      <c r="R85">
        <v>908</v>
      </c>
      <c r="S85" t="s">
        <v>659</v>
      </c>
      <c r="T85" t="s">
        <v>283</v>
      </c>
    </row>
    <row r="86" spans="1:20" x14ac:dyDescent="0.25">
      <c r="A86" t="s">
        <v>78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f t="shared" si="1"/>
        <v>1</v>
      </c>
      <c r="K86">
        <v>3.8314180000000001E-3</v>
      </c>
      <c r="L86">
        <v>3.8314175999999998E-2</v>
      </c>
      <c r="M86">
        <v>9.5785439999999996E-3</v>
      </c>
      <c r="N86">
        <v>0</v>
      </c>
      <c r="O86">
        <v>1.9157087999999999E-2</v>
      </c>
      <c r="P86">
        <v>3.8314180000000001E-3</v>
      </c>
      <c r="Q86">
        <v>5.747126E-3</v>
      </c>
      <c r="R86">
        <v>522</v>
      </c>
      <c r="S86" t="s">
        <v>299</v>
      </c>
      <c r="T86" t="s">
        <v>295</v>
      </c>
    </row>
    <row r="87" spans="1:20" x14ac:dyDescent="0.25">
      <c r="A87" t="s">
        <v>79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f t="shared" si="1"/>
        <v>1</v>
      </c>
      <c r="K87">
        <v>1.0452962E-2</v>
      </c>
      <c r="L87">
        <v>2.7874564000000001E-2</v>
      </c>
      <c r="M87">
        <v>3.4843209999999999E-3</v>
      </c>
      <c r="N87">
        <v>1.1614399999999999E-3</v>
      </c>
      <c r="O87">
        <v>5.8072009999999997E-3</v>
      </c>
      <c r="P87">
        <v>1.1614399999999999E-3</v>
      </c>
      <c r="Q87">
        <v>3.4843209999999999E-3</v>
      </c>
      <c r="R87">
        <v>861</v>
      </c>
      <c r="S87" t="s">
        <v>659</v>
      </c>
      <c r="T87" t="s">
        <v>284</v>
      </c>
    </row>
    <row r="88" spans="1:20" x14ac:dyDescent="0.25">
      <c r="A88" t="s">
        <v>80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f t="shared" si="1"/>
        <v>1</v>
      </c>
      <c r="K88">
        <v>1.4492754E-2</v>
      </c>
      <c r="L88">
        <v>3.1620553000000003E-2</v>
      </c>
      <c r="M88">
        <v>5.2700919999999997E-3</v>
      </c>
      <c r="N88">
        <v>1.3175229999999999E-3</v>
      </c>
      <c r="O88">
        <v>3.9525690000000004E-3</v>
      </c>
      <c r="P88">
        <v>0</v>
      </c>
      <c r="Q88">
        <v>5.2700919999999997E-3</v>
      </c>
      <c r="R88">
        <v>759</v>
      </c>
      <c r="S88" t="s">
        <v>301</v>
      </c>
      <c r="T88" t="s">
        <v>302</v>
      </c>
    </row>
    <row r="89" spans="1:20" x14ac:dyDescent="0.25">
      <c r="A89" t="s">
        <v>81</v>
      </c>
      <c r="B89">
        <v>1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1</v>
      </c>
      <c r="J89">
        <f t="shared" si="1"/>
        <v>3</v>
      </c>
      <c r="K89">
        <v>1.0971787E-2</v>
      </c>
      <c r="L89">
        <v>3.6050156999999999E-2</v>
      </c>
      <c r="M89">
        <v>1.0971787E-2</v>
      </c>
      <c r="N89">
        <v>0</v>
      </c>
      <c r="O89">
        <v>1.567398E-3</v>
      </c>
      <c r="P89">
        <v>4.7021939999999998E-3</v>
      </c>
      <c r="Q89">
        <v>3.134796E-3</v>
      </c>
      <c r="R89">
        <v>638</v>
      </c>
      <c r="S89" t="s">
        <v>659</v>
      </c>
      <c r="T89" t="s">
        <v>283</v>
      </c>
    </row>
    <row r="90" spans="1:20" x14ac:dyDescent="0.25">
      <c r="A90" t="s">
        <v>82</v>
      </c>
      <c r="B90">
        <v>1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  <c r="J90">
        <f t="shared" si="1"/>
        <v>3</v>
      </c>
      <c r="K90">
        <v>2.0512820000000002E-3</v>
      </c>
      <c r="L90">
        <v>3.5897435999999998E-2</v>
      </c>
      <c r="M90">
        <v>3.0769230000000001E-3</v>
      </c>
      <c r="N90">
        <v>2.0512820000000002E-3</v>
      </c>
      <c r="O90">
        <v>1.6410256000000002E-2</v>
      </c>
      <c r="P90">
        <v>1.0256410000000001E-3</v>
      </c>
      <c r="Q90">
        <v>3.0769230000000001E-3</v>
      </c>
      <c r="R90">
        <v>975</v>
      </c>
      <c r="S90" t="s">
        <v>659</v>
      </c>
      <c r="T90" t="s">
        <v>284</v>
      </c>
    </row>
    <row r="91" spans="1:20" x14ac:dyDescent="0.25">
      <c r="A91" t="s">
        <v>83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f t="shared" si="1"/>
        <v>1</v>
      </c>
      <c r="K91">
        <v>1.5177065999999999E-2</v>
      </c>
      <c r="L91">
        <v>1.3490725E-2</v>
      </c>
      <c r="M91">
        <v>2.8667791000000001E-2</v>
      </c>
      <c r="N91">
        <v>0</v>
      </c>
      <c r="O91">
        <v>8.4317030000000005E-3</v>
      </c>
      <c r="P91">
        <v>3.3726810000000002E-3</v>
      </c>
      <c r="Q91">
        <v>3.3726810000000002E-3</v>
      </c>
      <c r="R91">
        <v>593</v>
      </c>
      <c r="S91" t="s">
        <v>279</v>
      </c>
      <c r="T91" t="s">
        <v>284</v>
      </c>
    </row>
    <row r="92" spans="1:20" x14ac:dyDescent="0.25">
      <c r="A92" t="s">
        <v>84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f t="shared" si="1"/>
        <v>2</v>
      </c>
      <c r="K92">
        <v>7.5528699999999997E-3</v>
      </c>
      <c r="L92">
        <v>4.2296072999999997E-2</v>
      </c>
      <c r="M92">
        <v>6.042296E-3</v>
      </c>
      <c r="N92">
        <v>0</v>
      </c>
      <c r="O92">
        <v>9.0634440000000004E-3</v>
      </c>
      <c r="P92">
        <v>1.510574E-3</v>
      </c>
      <c r="Q92">
        <v>1.510574E-3</v>
      </c>
      <c r="R92">
        <v>662</v>
      </c>
      <c r="S92" t="s">
        <v>299</v>
      </c>
      <c r="T92" t="s">
        <v>295</v>
      </c>
    </row>
    <row r="93" spans="1:20" x14ac:dyDescent="0.25">
      <c r="A93" t="s">
        <v>85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>
        <f t="shared" si="1"/>
        <v>2</v>
      </c>
      <c r="K93">
        <v>5.7142859999999998E-3</v>
      </c>
      <c r="L93">
        <v>3.7714286E-2</v>
      </c>
      <c r="M93">
        <v>3.428571E-3</v>
      </c>
      <c r="N93">
        <v>0</v>
      </c>
      <c r="O93">
        <v>4.5714290000000001E-3</v>
      </c>
      <c r="P93">
        <v>0</v>
      </c>
      <c r="Q93">
        <v>1.1428569999999999E-3</v>
      </c>
      <c r="R93">
        <v>875</v>
      </c>
      <c r="S93" t="s">
        <v>301</v>
      </c>
      <c r="T93" t="s">
        <v>298</v>
      </c>
    </row>
    <row r="94" spans="1:20" x14ac:dyDescent="0.25">
      <c r="A94" t="s">
        <v>86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f t="shared" si="1"/>
        <v>0</v>
      </c>
      <c r="K94">
        <v>1.4492750000000001E-3</v>
      </c>
      <c r="L94">
        <v>6.6666666999999999E-2</v>
      </c>
      <c r="M94">
        <v>1.4492750000000001E-3</v>
      </c>
      <c r="N94">
        <v>0</v>
      </c>
      <c r="O94">
        <v>1.0144927999999999E-2</v>
      </c>
      <c r="P94">
        <v>1.4492750000000001E-3</v>
      </c>
      <c r="Q94">
        <v>5.7971009999999998E-3</v>
      </c>
      <c r="R94">
        <v>690</v>
      </c>
      <c r="S94" t="s">
        <v>301</v>
      </c>
      <c r="T94" t="s">
        <v>295</v>
      </c>
    </row>
    <row r="95" spans="1:20" x14ac:dyDescent="0.25">
      <c r="A95" t="s">
        <v>87</v>
      </c>
      <c r="B95">
        <v>1</v>
      </c>
      <c r="C95">
        <v>0</v>
      </c>
      <c r="D95">
        <v>1</v>
      </c>
      <c r="E95">
        <v>1</v>
      </c>
      <c r="F95">
        <v>0</v>
      </c>
      <c r="G95">
        <v>0</v>
      </c>
      <c r="H95">
        <v>0</v>
      </c>
      <c r="I95">
        <v>1</v>
      </c>
      <c r="J95">
        <f t="shared" si="1"/>
        <v>4</v>
      </c>
      <c r="K95">
        <v>1.1450382E-2</v>
      </c>
      <c r="L95">
        <v>3.9694656000000002E-2</v>
      </c>
      <c r="M95">
        <v>6.1068700000000004E-3</v>
      </c>
      <c r="N95">
        <v>1.526718E-3</v>
      </c>
      <c r="O95">
        <v>3.0534350000000002E-3</v>
      </c>
      <c r="P95">
        <v>1.526718E-3</v>
      </c>
      <c r="Q95">
        <v>3.0534350000000002E-3</v>
      </c>
      <c r="R95">
        <v>1310</v>
      </c>
      <c r="S95" t="s">
        <v>301</v>
      </c>
      <c r="T95" t="s">
        <v>281</v>
      </c>
    </row>
    <row r="96" spans="1:20" x14ac:dyDescent="0.25">
      <c r="A96" t="s">
        <v>88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f t="shared" si="1"/>
        <v>1</v>
      </c>
      <c r="K96">
        <v>1.9083968999999999E-2</v>
      </c>
      <c r="L96">
        <v>4.3893130000000002E-2</v>
      </c>
      <c r="M96">
        <v>1.1450382E-2</v>
      </c>
      <c r="N96">
        <v>0</v>
      </c>
      <c r="O96">
        <v>1.1450382E-2</v>
      </c>
      <c r="P96">
        <v>1.908397E-3</v>
      </c>
      <c r="Q96">
        <v>1.908397E-3</v>
      </c>
      <c r="R96">
        <v>524</v>
      </c>
      <c r="S96" t="s">
        <v>659</v>
      </c>
      <c r="T96" t="s">
        <v>285</v>
      </c>
    </row>
    <row r="97" spans="1:20" x14ac:dyDescent="0.25">
      <c r="A97" t="s">
        <v>89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1</v>
      </c>
      <c r="J97">
        <f t="shared" si="1"/>
        <v>2</v>
      </c>
      <c r="K97">
        <v>1.5267176E-2</v>
      </c>
      <c r="L97">
        <v>5.9541984999999999E-2</v>
      </c>
      <c r="M97">
        <v>7.6335880000000002E-3</v>
      </c>
      <c r="N97">
        <v>1.526718E-3</v>
      </c>
      <c r="O97">
        <v>6.1068700000000004E-3</v>
      </c>
      <c r="P97">
        <v>1.526718E-3</v>
      </c>
      <c r="Q97">
        <v>6.1068700000000004E-3</v>
      </c>
      <c r="R97">
        <v>655</v>
      </c>
      <c r="S97" t="s">
        <v>279</v>
      </c>
      <c r="T97" t="s">
        <v>285</v>
      </c>
    </row>
    <row r="98" spans="1:20" x14ac:dyDescent="0.25">
      <c r="A98" t="s">
        <v>293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f t="shared" si="1"/>
        <v>1</v>
      </c>
      <c r="K98">
        <v>4.210526E-3</v>
      </c>
      <c r="L98">
        <v>6.1052632000000003E-2</v>
      </c>
      <c r="M98">
        <v>0</v>
      </c>
      <c r="N98">
        <v>0</v>
      </c>
      <c r="O98">
        <v>2.105263E-3</v>
      </c>
      <c r="P98">
        <v>0</v>
      </c>
      <c r="Q98">
        <v>0</v>
      </c>
      <c r="R98">
        <v>475</v>
      </c>
      <c r="S98" t="s">
        <v>299</v>
      </c>
      <c r="T98" t="s">
        <v>282</v>
      </c>
    </row>
    <row r="99" spans="1:20" x14ac:dyDescent="0.25">
      <c r="A99" t="s">
        <v>90</v>
      </c>
      <c r="B99">
        <v>1</v>
      </c>
      <c r="C99">
        <v>0</v>
      </c>
      <c r="D99">
        <v>0</v>
      </c>
      <c r="E99">
        <v>1</v>
      </c>
      <c r="F99">
        <v>1</v>
      </c>
      <c r="G99">
        <v>1</v>
      </c>
      <c r="H99">
        <v>1</v>
      </c>
      <c r="I99">
        <v>1</v>
      </c>
      <c r="J99">
        <f t="shared" si="1"/>
        <v>6</v>
      </c>
      <c r="K99">
        <v>2.0697167999999998E-2</v>
      </c>
      <c r="L99">
        <v>3.0501088999999999E-2</v>
      </c>
      <c r="M99">
        <v>1.3071895E-2</v>
      </c>
      <c r="N99">
        <v>0</v>
      </c>
      <c r="O99">
        <v>4.3572979999999999E-3</v>
      </c>
      <c r="P99">
        <v>1.0893249999999999E-3</v>
      </c>
      <c r="Q99">
        <v>3.2679739999999999E-3</v>
      </c>
      <c r="R99">
        <v>918</v>
      </c>
      <c r="S99" t="s">
        <v>299</v>
      </c>
      <c r="T99" t="s">
        <v>281</v>
      </c>
    </row>
    <row r="100" spans="1:20" x14ac:dyDescent="0.25">
      <c r="A100" t="s">
        <v>91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f t="shared" si="1"/>
        <v>2</v>
      </c>
      <c r="K100">
        <v>6.4516130000000001E-3</v>
      </c>
      <c r="L100">
        <v>4.0860214999999998E-2</v>
      </c>
      <c r="M100">
        <v>0</v>
      </c>
      <c r="N100">
        <v>0</v>
      </c>
      <c r="O100">
        <v>2.150538E-3</v>
      </c>
      <c r="P100">
        <v>0</v>
      </c>
      <c r="Q100">
        <v>6.4516130000000001E-3</v>
      </c>
      <c r="R100">
        <v>465</v>
      </c>
      <c r="S100" t="s">
        <v>279</v>
      </c>
      <c r="T100" t="s">
        <v>284</v>
      </c>
    </row>
    <row r="101" spans="1:20" x14ac:dyDescent="0.25">
      <c r="A101" t="s">
        <v>92</v>
      </c>
      <c r="B101">
        <v>1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1</v>
      </c>
      <c r="I101">
        <v>1</v>
      </c>
      <c r="J101">
        <f t="shared" si="1"/>
        <v>5</v>
      </c>
      <c r="K101">
        <v>4.3640900000000002E-3</v>
      </c>
      <c r="L101">
        <v>3.6159601E-2</v>
      </c>
      <c r="M101">
        <v>3.7406480000000001E-3</v>
      </c>
      <c r="N101">
        <v>1.870324E-3</v>
      </c>
      <c r="O101">
        <v>5.610973E-3</v>
      </c>
      <c r="P101">
        <v>2.4937660000000001E-3</v>
      </c>
      <c r="Q101">
        <v>4.9875309999999999E-3</v>
      </c>
      <c r="R101">
        <v>1604</v>
      </c>
      <c r="S101" t="s">
        <v>299</v>
      </c>
      <c r="T101" t="s">
        <v>284</v>
      </c>
    </row>
    <row r="102" spans="1:20" x14ac:dyDescent="0.25">
      <c r="A102" t="s">
        <v>93</v>
      </c>
      <c r="B102">
        <v>1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f t="shared" si="1"/>
        <v>2</v>
      </c>
      <c r="K102">
        <v>7.0671379999999997E-3</v>
      </c>
      <c r="L102">
        <v>2.3557126000000001E-2</v>
      </c>
      <c r="M102">
        <v>3.5335689999999999E-3</v>
      </c>
      <c r="N102">
        <v>0</v>
      </c>
      <c r="O102">
        <v>1.1778559999999999E-3</v>
      </c>
      <c r="P102">
        <v>0</v>
      </c>
      <c r="Q102">
        <v>5.889282E-3</v>
      </c>
      <c r="R102">
        <v>849</v>
      </c>
      <c r="S102" t="s">
        <v>279</v>
      </c>
      <c r="T102" t="s">
        <v>295</v>
      </c>
    </row>
    <row r="103" spans="1:20" x14ac:dyDescent="0.25">
      <c r="A103" t="s">
        <v>94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f t="shared" si="1"/>
        <v>1</v>
      </c>
      <c r="K103">
        <v>1.0928962E-2</v>
      </c>
      <c r="L103">
        <v>3.8251366000000002E-2</v>
      </c>
      <c r="M103">
        <v>5.4644810000000002E-3</v>
      </c>
      <c r="N103">
        <v>2.1857920000000002E-3</v>
      </c>
      <c r="O103">
        <v>5.4644810000000002E-3</v>
      </c>
      <c r="P103">
        <v>4.3715849999999999E-3</v>
      </c>
      <c r="Q103">
        <v>2.1857920000000002E-3</v>
      </c>
      <c r="R103">
        <v>915</v>
      </c>
      <c r="S103" t="s">
        <v>301</v>
      </c>
      <c r="T103" t="s">
        <v>280</v>
      </c>
    </row>
    <row r="104" spans="1:20" x14ac:dyDescent="0.25">
      <c r="A104" t="s">
        <v>95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f t="shared" si="1"/>
        <v>1</v>
      </c>
      <c r="K104">
        <v>1.7488076000000002E-2</v>
      </c>
      <c r="L104">
        <v>5.2464229000000001E-2</v>
      </c>
      <c r="M104">
        <v>9.5389510000000004E-3</v>
      </c>
      <c r="N104">
        <v>1.589825E-3</v>
      </c>
      <c r="O104">
        <v>1.2718601E-2</v>
      </c>
      <c r="P104">
        <v>1.589825E-3</v>
      </c>
      <c r="Q104">
        <v>1.589825E-3</v>
      </c>
      <c r="R104">
        <v>629</v>
      </c>
      <c r="S104" t="s">
        <v>279</v>
      </c>
      <c r="T104" t="s">
        <v>281</v>
      </c>
    </row>
    <row r="105" spans="1:20" x14ac:dyDescent="0.25">
      <c r="A105" t="s">
        <v>96</v>
      </c>
      <c r="B105">
        <v>1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1</v>
      </c>
      <c r="I105">
        <v>1</v>
      </c>
      <c r="J105">
        <f t="shared" si="1"/>
        <v>4</v>
      </c>
      <c r="K105">
        <v>5.0335570000000001E-3</v>
      </c>
      <c r="L105">
        <v>3.6912752E-2</v>
      </c>
      <c r="M105">
        <v>5.0335570000000001E-3</v>
      </c>
      <c r="N105">
        <v>1.6778520000000001E-3</v>
      </c>
      <c r="O105">
        <v>3.3557050000000001E-3</v>
      </c>
      <c r="P105">
        <v>3.3557050000000001E-3</v>
      </c>
      <c r="Q105">
        <v>6.7114089999999998E-3</v>
      </c>
      <c r="R105">
        <v>596</v>
      </c>
      <c r="S105" t="s">
        <v>299</v>
      </c>
      <c r="T105" t="s">
        <v>284</v>
      </c>
    </row>
    <row r="106" spans="1:20" x14ac:dyDescent="0.25">
      <c r="A106" t="s">
        <v>97</v>
      </c>
      <c r="B106">
        <v>1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1</v>
      </c>
      <c r="I106">
        <v>1</v>
      </c>
      <c r="J106">
        <f t="shared" si="1"/>
        <v>4</v>
      </c>
      <c r="K106">
        <v>9.4696969999999991E-3</v>
      </c>
      <c r="L106">
        <v>2.7462120999999999E-2</v>
      </c>
      <c r="M106">
        <v>4.7348479999999998E-3</v>
      </c>
      <c r="N106">
        <v>9.4696999999999999E-4</v>
      </c>
      <c r="O106">
        <v>3.7878790000000001E-3</v>
      </c>
      <c r="P106">
        <v>9.4696999999999999E-4</v>
      </c>
      <c r="Q106">
        <v>9.4696999999999999E-4</v>
      </c>
      <c r="R106">
        <v>1056</v>
      </c>
      <c r="S106" t="s">
        <v>299</v>
      </c>
      <c r="T106" t="s">
        <v>285</v>
      </c>
    </row>
    <row r="107" spans="1:20" x14ac:dyDescent="0.25">
      <c r="A107" t="s">
        <v>98</v>
      </c>
      <c r="B107">
        <v>0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1</v>
      </c>
      <c r="J107">
        <f t="shared" si="1"/>
        <v>3</v>
      </c>
      <c r="K107">
        <v>1.3618676999999999E-2</v>
      </c>
      <c r="L107">
        <v>4.6692606999999997E-2</v>
      </c>
      <c r="M107">
        <v>0</v>
      </c>
      <c r="N107">
        <v>1.945525E-3</v>
      </c>
      <c r="O107">
        <v>5.8365759999999996E-3</v>
      </c>
      <c r="P107">
        <v>0</v>
      </c>
      <c r="Q107">
        <v>0</v>
      </c>
      <c r="R107">
        <v>514</v>
      </c>
      <c r="S107" t="s">
        <v>299</v>
      </c>
      <c r="T107" t="s">
        <v>285</v>
      </c>
    </row>
    <row r="108" spans="1:20" x14ac:dyDescent="0.25">
      <c r="A108" t="s">
        <v>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f t="shared" si="1"/>
        <v>0</v>
      </c>
      <c r="K108">
        <v>1.402525E-3</v>
      </c>
      <c r="L108">
        <v>2.9453014999999999E-2</v>
      </c>
      <c r="M108">
        <v>2.805049E-3</v>
      </c>
      <c r="N108">
        <v>0</v>
      </c>
      <c r="O108">
        <v>1.1220196E-2</v>
      </c>
      <c r="P108">
        <v>0</v>
      </c>
      <c r="Q108">
        <v>0</v>
      </c>
      <c r="R108">
        <v>713</v>
      </c>
      <c r="S108" t="s">
        <v>299</v>
      </c>
      <c r="T108" t="s">
        <v>295</v>
      </c>
    </row>
    <row r="109" spans="1:20" x14ac:dyDescent="0.25">
      <c r="A109" t="s">
        <v>100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1</v>
      </c>
      <c r="J109">
        <f t="shared" si="1"/>
        <v>2</v>
      </c>
      <c r="K109">
        <v>4.4247790000000002E-3</v>
      </c>
      <c r="L109">
        <v>4.4247788000000003E-2</v>
      </c>
      <c r="M109">
        <v>1.4749260000000001E-3</v>
      </c>
      <c r="N109">
        <v>1.4749260000000001E-3</v>
      </c>
      <c r="O109">
        <v>4.4247790000000002E-3</v>
      </c>
      <c r="P109">
        <v>0</v>
      </c>
      <c r="Q109">
        <v>4.4247790000000002E-3</v>
      </c>
      <c r="R109">
        <v>678</v>
      </c>
      <c r="S109" t="s">
        <v>279</v>
      </c>
      <c r="T109" t="s">
        <v>283</v>
      </c>
    </row>
    <row r="110" spans="1:20" x14ac:dyDescent="0.25">
      <c r="A110" t="s">
        <v>101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1</v>
      </c>
      <c r="J110">
        <f t="shared" si="1"/>
        <v>2</v>
      </c>
      <c r="K110">
        <v>1.3262599999999999E-3</v>
      </c>
      <c r="L110">
        <v>2.7851458999999999E-2</v>
      </c>
      <c r="M110">
        <v>0</v>
      </c>
      <c r="N110">
        <v>0</v>
      </c>
      <c r="O110">
        <v>1.3262599999999999E-3</v>
      </c>
      <c r="P110">
        <v>0</v>
      </c>
      <c r="Q110">
        <v>1.3262599999999999E-3</v>
      </c>
      <c r="R110">
        <v>754</v>
      </c>
      <c r="S110" t="s">
        <v>301</v>
      </c>
      <c r="T110" t="s">
        <v>283</v>
      </c>
    </row>
    <row r="111" spans="1:20" x14ac:dyDescent="0.25">
      <c r="A111" t="s">
        <v>102</v>
      </c>
      <c r="B111">
        <v>1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1</v>
      </c>
      <c r="I111">
        <v>0</v>
      </c>
      <c r="J111">
        <f t="shared" si="1"/>
        <v>3</v>
      </c>
      <c r="K111">
        <v>4.784689E-3</v>
      </c>
      <c r="L111">
        <v>2.3923445000000002E-2</v>
      </c>
      <c r="M111">
        <v>4.784689E-3</v>
      </c>
      <c r="N111">
        <v>2.3923439999999998E-3</v>
      </c>
      <c r="O111">
        <v>4.784689E-3</v>
      </c>
      <c r="P111">
        <v>0</v>
      </c>
      <c r="Q111">
        <v>4.784689E-3</v>
      </c>
      <c r="R111">
        <v>418</v>
      </c>
      <c r="S111" t="s">
        <v>299</v>
      </c>
      <c r="T111" t="s">
        <v>282</v>
      </c>
    </row>
    <row r="112" spans="1:20" x14ac:dyDescent="0.25">
      <c r="A112" t="s">
        <v>103</v>
      </c>
      <c r="B112">
        <v>0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>
        <f t="shared" si="1"/>
        <v>2</v>
      </c>
      <c r="K112">
        <v>6.6445180000000003E-3</v>
      </c>
      <c r="L112">
        <v>6.6445183000000005E-2</v>
      </c>
      <c r="M112">
        <v>3.3222590000000001E-3</v>
      </c>
      <c r="N112">
        <v>0</v>
      </c>
      <c r="O112">
        <v>6.6445180000000003E-3</v>
      </c>
      <c r="P112">
        <v>1.66113E-3</v>
      </c>
      <c r="Q112">
        <v>1.66113E-3</v>
      </c>
      <c r="R112">
        <v>602</v>
      </c>
      <c r="S112" t="s">
        <v>279</v>
      </c>
      <c r="T112" t="s">
        <v>295</v>
      </c>
    </row>
    <row r="113" spans="1:20" x14ac:dyDescent="0.25">
      <c r="A113" t="s">
        <v>104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f t="shared" si="1"/>
        <v>1</v>
      </c>
      <c r="K113">
        <v>1.1135857000000001E-2</v>
      </c>
      <c r="L113">
        <v>4.6770601000000002E-2</v>
      </c>
      <c r="M113">
        <v>6.6815140000000004E-3</v>
      </c>
      <c r="N113">
        <v>0</v>
      </c>
      <c r="O113">
        <v>1.1135857000000001E-2</v>
      </c>
      <c r="P113">
        <v>2.227171E-3</v>
      </c>
      <c r="Q113">
        <v>2.227171E-3</v>
      </c>
      <c r="R113">
        <v>449</v>
      </c>
      <c r="S113" t="s">
        <v>279</v>
      </c>
      <c r="T113" t="s">
        <v>285</v>
      </c>
    </row>
    <row r="114" spans="1:20" x14ac:dyDescent="0.25">
      <c r="A114" t="s">
        <v>105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1</v>
      </c>
      <c r="I114">
        <v>0</v>
      </c>
      <c r="J114">
        <f t="shared" si="1"/>
        <v>2</v>
      </c>
      <c r="K114">
        <v>4.8590860000000003E-3</v>
      </c>
      <c r="L114">
        <v>3.6929057000000001E-2</v>
      </c>
      <c r="M114">
        <v>1.943635E-3</v>
      </c>
      <c r="N114">
        <v>0</v>
      </c>
      <c r="O114">
        <v>4.8590860000000003E-3</v>
      </c>
      <c r="P114">
        <v>1.943635E-3</v>
      </c>
      <c r="Q114">
        <v>2.9154519999999998E-3</v>
      </c>
      <c r="R114">
        <v>1029</v>
      </c>
      <c r="S114" t="s">
        <v>299</v>
      </c>
      <c r="T114" t="s">
        <v>295</v>
      </c>
    </row>
    <row r="115" spans="1:20" x14ac:dyDescent="0.25">
      <c r="A115" t="s">
        <v>106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1</v>
      </c>
      <c r="J115">
        <f t="shared" si="1"/>
        <v>2</v>
      </c>
      <c r="K115">
        <v>1.2422360000000001E-3</v>
      </c>
      <c r="L115">
        <v>3.8509317000000001E-2</v>
      </c>
      <c r="M115">
        <v>2.4844720000000002E-3</v>
      </c>
      <c r="N115">
        <v>0</v>
      </c>
      <c r="O115">
        <v>8.6956519999999999E-3</v>
      </c>
      <c r="P115">
        <v>1.2422360000000001E-3</v>
      </c>
      <c r="Q115">
        <v>0</v>
      </c>
      <c r="R115">
        <v>805</v>
      </c>
      <c r="S115" t="s">
        <v>299</v>
      </c>
      <c r="T115" t="s">
        <v>295</v>
      </c>
    </row>
    <row r="116" spans="1:20" x14ac:dyDescent="0.25">
      <c r="A116" t="s">
        <v>107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1</v>
      </c>
      <c r="J116">
        <f t="shared" si="1"/>
        <v>2</v>
      </c>
      <c r="K116">
        <v>2.1390369999999999E-3</v>
      </c>
      <c r="L116">
        <v>3.3155080000000003E-2</v>
      </c>
      <c r="M116">
        <v>6.417112E-3</v>
      </c>
      <c r="N116">
        <v>1.0695189999999999E-3</v>
      </c>
      <c r="O116">
        <v>9.6256680000000004E-3</v>
      </c>
      <c r="P116">
        <v>2.1390369999999999E-3</v>
      </c>
      <c r="Q116">
        <v>1.0695189999999999E-3</v>
      </c>
      <c r="R116">
        <v>935</v>
      </c>
      <c r="S116" t="s">
        <v>299</v>
      </c>
      <c r="T116" t="s">
        <v>284</v>
      </c>
    </row>
    <row r="117" spans="1:20" x14ac:dyDescent="0.25">
      <c r="A117" t="s">
        <v>108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f t="shared" si="1"/>
        <v>1</v>
      </c>
      <c r="K117">
        <v>1.5151515000000001E-2</v>
      </c>
      <c r="L117">
        <v>4.0404040000000002E-2</v>
      </c>
      <c r="M117">
        <v>3.3670029999999999E-3</v>
      </c>
      <c r="N117">
        <v>3.3670029999999999E-3</v>
      </c>
      <c r="O117">
        <v>1.6835019999999999E-3</v>
      </c>
      <c r="P117">
        <v>3.3670029999999999E-3</v>
      </c>
      <c r="Q117">
        <v>0</v>
      </c>
      <c r="R117">
        <v>594</v>
      </c>
      <c r="S117" t="s">
        <v>279</v>
      </c>
      <c r="T117" t="s">
        <v>285</v>
      </c>
    </row>
    <row r="118" spans="1:20" x14ac:dyDescent="0.25">
      <c r="A118" t="s">
        <v>109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f t="shared" si="1"/>
        <v>1</v>
      </c>
      <c r="K118">
        <v>3.3557050000000001E-3</v>
      </c>
      <c r="L118">
        <v>4.1387025000000001E-2</v>
      </c>
      <c r="M118">
        <v>6.7114089999999998E-3</v>
      </c>
      <c r="N118">
        <v>2.2371359999999998E-3</v>
      </c>
      <c r="O118">
        <v>4.474273E-3</v>
      </c>
      <c r="P118">
        <v>2.2371359999999998E-3</v>
      </c>
      <c r="Q118">
        <v>2.2371359999999998E-3</v>
      </c>
      <c r="R118">
        <v>894</v>
      </c>
      <c r="S118" t="s">
        <v>301</v>
      </c>
      <c r="T118" t="s">
        <v>281</v>
      </c>
    </row>
    <row r="119" spans="1:20" x14ac:dyDescent="0.25">
      <c r="A119" t="s">
        <v>110</v>
      </c>
      <c r="B119">
        <v>1</v>
      </c>
      <c r="C119">
        <v>1</v>
      </c>
      <c r="D119">
        <v>0</v>
      </c>
      <c r="E119">
        <v>1</v>
      </c>
      <c r="F119">
        <v>0</v>
      </c>
      <c r="G119">
        <v>0</v>
      </c>
      <c r="H119">
        <v>1</v>
      </c>
      <c r="I119">
        <v>1</v>
      </c>
      <c r="J119">
        <f t="shared" si="1"/>
        <v>5</v>
      </c>
      <c r="K119">
        <v>4.0453069999999997E-3</v>
      </c>
      <c r="L119">
        <v>3.8834950999999999E-2</v>
      </c>
      <c r="M119">
        <v>0</v>
      </c>
      <c r="N119">
        <v>8.0906100000000002E-4</v>
      </c>
      <c r="O119">
        <v>3.2362459999999999E-3</v>
      </c>
      <c r="P119">
        <v>0</v>
      </c>
      <c r="Q119">
        <v>1.618123E-3</v>
      </c>
      <c r="R119">
        <v>1236</v>
      </c>
      <c r="S119" t="s">
        <v>301</v>
      </c>
      <c r="T119" t="s">
        <v>295</v>
      </c>
    </row>
    <row r="120" spans="1:20" x14ac:dyDescent="0.25">
      <c r="A120" t="s">
        <v>111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f t="shared" si="1"/>
        <v>1</v>
      </c>
      <c r="K120">
        <v>1.0256410000000001E-2</v>
      </c>
      <c r="L120">
        <v>3.7606837999999997E-2</v>
      </c>
      <c r="M120">
        <v>8.5470089999999995E-3</v>
      </c>
      <c r="N120">
        <v>1.7094020000000001E-3</v>
      </c>
      <c r="O120">
        <v>8.5470089999999995E-3</v>
      </c>
      <c r="P120">
        <v>1.7094020000000001E-3</v>
      </c>
      <c r="Q120">
        <v>5.1282050000000003E-3</v>
      </c>
      <c r="R120">
        <v>585</v>
      </c>
      <c r="S120" t="s">
        <v>299</v>
      </c>
      <c r="T120" t="s">
        <v>285</v>
      </c>
    </row>
    <row r="121" spans="1:20" x14ac:dyDescent="0.25">
      <c r="A121" t="s">
        <v>112</v>
      </c>
      <c r="B121">
        <v>1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1</v>
      </c>
      <c r="J121">
        <f t="shared" si="1"/>
        <v>3</v>
      </c>
      <c r="K121">
        <v>6.6934400000000002E-3</v>
      </c>
      <c r="L121">
        <v>5.6224900000000001E-2</v>
      </c>
      <c r="M121">
        <v>1.338688E-3</v>
      </c>
      <c r="N121">
        <v>0</v>
      </c>
      <c r="O121">
        <v>9.370817E-3</v>
      </c>
      <c r="P121">
        <v>0</v>
      </c>
      <c r="Q121">
        <v>0</v>
      </c>
      <c r="R121">
        <v>747</v>
      </c>
      <c r="S121" t="s">
        <v>279</v>
      </c>
      <c r="T121" t="s">
        <v>283</v>
      </c>
    </row>
    <row r="122" spans="1:20" x14ac:dyDescent="0.25">
      <c r="A122" t="s">
        <v>113</v>
      </c>
      <c r="B122">
        <v>1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1</v>
      </c>
      <c r="J122">
        <f t="shared" si="1"/>
        <v>3</v>
      </c>
      <c r="K122">
        <v>1.0092515E-2</v>
      </c>
      <c r="L122">
        <v>4.8780487999999997E-2</v>
      </c>
      <c r="M122">
        <v>5.0462570000000002E-3</v>
      </c>
      <c r="N122">
        <v>0</v>
      </c>
      <c r="O122">
        <v>3.3641719999999999E-3</v>
      </c>
      <c r="P122">
        <v>0</v>
      </c>
      <c r="Q122">
        <v>2.5231289999999998E-3</v>
      </c>
      <c r="R122">
        <v>1189</v>
      </c>
      <c r="S122" t="s">
        <v>279</v>
      </c>
      <c r="T122" t="s">
        <v>285</v>
      </c>
    </row>
    <row r="123" spans="1:20" x14ac:dyDescent="0.25">
      <c r="A123" t="s">
        <v>114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f t="shared" si="1"/>
        <v>2</v>
      </c>
      <c r="K123">
        <v>0</v>
      </c>
      <c r="L123">
        <v>1.9548871999999998E-2</v>
      </c>
      <c r="M123">
        <v>0</v>
      </c>
      <c r="N123">
        <v>0</v>
      </c>
      <c r="O123">
        <v>1.0526316000000001E-2</v>
      </c>
      <c r="P123">
        <v>0</v>
      </c>
      <c r="Q123">
        <v>0</v>
      </c>
      <c r="R123">
        <v>665</v>
      </c>
      <c r="S123" t="s">
        <v>659</v>
      </c>
      <c r="T123" t="s">
        <v>282</v>
      </c>
    </row>
    <row r="124" spans="1:20" x14ac:dyDescent="0.25">
      <c r="A124" t="s">
        <v>115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f t="shared" si="1"/>
        <v>1</v>
      </c>
      <c r="K124">
        <v>2.5210084000000001E-2</v>
      </c>
      <c r="L124">
        <v>5.0420168000000001E-2</v>
      </c>
      <c r="M124">
        <v>0</v>
      </c>
      <c r="N124">
        <v>0</v>
      </c>
      <c r="O124">
        <v>2.8011199999999998E-3</v>
      </c>
      <c r="P124">
        <v>0</v>
      </c>
      <c r="Q124">
        <v>0</v>
      </c>
      <c r="R124">
        <v>357</v>
      </c>
      <c r="S124" t="s">
        <v>279</v>
      </c>
      <c r="T124" t="s">
        <v>283</v>
      </c>
    </row>
    <row r="125" spans="1:20" x14ac:dyDescent="0.25">
      <c r="A125" t="s">
        <v>116</v>
      </c>
      <c r="B125">
        <v>0</v>
      </c>
      <c r="C125">
        <v>1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1</v>
      </c>
      <c r="J125">
        <f t="shared" si="1"/>
        <v>4</v>
      </c>
      <c r="K125">
        <v>8.6862109999999992E-3</v>
      </c>
      <c r="L125">
        <v>2.4972856000000002E-2</v>
      </c>
      <c r="M125">
        <v>5.4288820000000003E-3</v>
      </c>
      <c r="N125">
        <v>1.0857760000000001E-3</v>
      </c>
      <c r="O125">
        <v>2.1715530000000001E-3</v>
      </c>
      <c r="P125">
        <v>1.0857760000000001E-3</v>
      </c>
      <c r="Q125">
        <v>0</v>
      </c>
      <c r="R125">
        <v>921</v>
      </c>
      <c r="S125" t="s">
        <v>659</v>
      </c>
      <c r="T125" t="s">
        <v>285</v>
      </c>
    </row>
    <row r="126" spans="1:20" x14ac:dyDescent="0.25">
      <c r="A126" t="s">
        <v>117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f t="shared" si="1"/>
        <v>1</v>
      </c>
      <c r="K126">
        <v>1.2307692E-2</v>
      </c>
      <c r="L126">
        <v>4.3076923000000003E-2</v>
      </c>
      <c r="M126">
        <v>9.2307689999999998E-3</v>
      </c>
      <c r="N126">
        <v>0</v>
      </c>
      <c r="O126">
        <v>3.0769230000000001E-3</v>
      </c>
      <c r="P126">
        <v>0</v>
      </c>
      <c r="Q126">
        <v>6.1538460000000001E-3</v>
      </c>
      <c r="R126">
        <v>325</v>
      </c>
      <c r="S126" t="s">
        <v>279</v>
      </c>
      <c r="T126" t="s">
        <v>280</v>
      </c>
    </row>
    <row r="127" spans="1:20" x14ac:dyDescent="0.25">
      <c r="A127" t="s">
        <v>118</v>
      </c>
      <c r="B127">
        <v>1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1</v>
      </c>
      <c r="J127">
        <f t="shared" si="1"/>
        <v>3</v>
      </c>
      <c r="K127">
        <v>4.62963E-3</v>
      </c>
      <c r="L127">
        <v>2.3148148E-2</v>
      </c>
      <c r="M127">
        <v>0</v>
      </c>
      <c r="N127">
        <v>0</v>
      </c>
      <c r="O127">
        <v>1.2037037E-2</v>
      </c>
      <c r="P127">
        <v>0</v>
      </c>
      <c r="Q127">
        <v>2.7777779999999998E-3</v>
      </c>
      <c r="R127">
        <v>1080</v>
      </c>
      <c r="S127" t="s">
        <v>659</v>
      </c>
      <c r="T127" t="s">
        <v>285</v>
      </c>
    </row>
    <row r="128" spans="1:20" x14ac:dyDescent="0.25">
      <c r="A128" t="s">
        <v>119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1</v>
      </c>
      <c r="J128">
        <f t="shared" si="1"/>
        <v>2</v>
      </c>
      <c r="K128">
        <v>0</v>
      </c>
      <c r="L128">
        <v>2.9118774E-2</v>
      </c>
      <c r="M128">
        <v>9.9616860000000008E-3</v>
      </c>
      <c r="N128">
        <v>0</v>
      </c>
      <c r="O128">
        <v>2.2988510000000002E-3</v>
      </c>
      <c r="P128">
        <v>3.8314180000000001E-3</v>
      </c>
      <c r="Q128">
        <v>1.5325670000000001E-3</v>
      </c>
      <c r="R128">
        <v>1305</v>
      </c>
      <c r="S128" t="s">
        <v>659</v>
      </c>
      <c r="T128" t="s">
        <v>281</v>
      </c>
    </row>
    <row r="129" spans="1:20" x14ac:dyDescent="0.25">
      <c r="A129" t="s">
        <v>120</v>
      </c>
      <c r="B129">
        <v>1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1</v>
      </c>
      <c r="J129">
        <f t="shared" si="1"/>
        <v>3</v>
      </c>
      <c r="K129">
        <v>1.0681586999999999E-2</v>
      </c>
      <c r="L129">
        <v>3.1027467E-2</v>
      </c>
      <c r="M129">
        <v>4.0691759999999999E-3</v>
      </c>
      <c r="N129">
        <v>3.0518820000000001E-3</v>
      </c>
      <c r="O129">
        <v>6.6124110000000003E-3</v>
      </c>
      <c r="P129">
        <v>1.017294E-3</v>
      </c>
      <c r="Q129">
        <v>1.5259410000000001E-3</v>
      </c>
      <c r="R129">
        <v>1966</v>
      </c>
      <c r="S129" t="s">
        <v>279</v>
      </c>
      <c r="T129" t="s">
        <v>285</v>
      </c>
    </row>
    <row r="130" spans="1:20" x14ac:dyDescent="0.25">
      <c r="A130" t="s">
        <v>121</v>
      </c>
      <c r="B130">
        <v>1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1</v>
      </c>
      <c r="J130">
        <f t="shared" si="1"/>
        <v>3</v>
      </c>
      <c r="K130">
        <v>1.1867089000000001E-2</v>
      </c>
      <c r="L130">
        <v>2.6898734000000001E-2</v>
      </c>
      <c r="M130">
        <v>1.5822779999999999E-3</v>
      </c>
      <c r="N130">
        <v>1.5822779999999999E-3</v>
      </c>
      <c r="O130">
        <v>1.8196203000000001E-2</v>
      </c>
      <c r="P130">
        <v>0</v>
      </c>
      <c r="Q130">
        <v>1.5822779999999999E-3</v>
      </c>
      <c r="R130">
        <v>1264</v>
      </c>
      <c r="S130" t="s">
        <v>301</v>
      </c>
      <c r="T130" t="s">
        <v>280</v>
      </c>
    </row>
    <row r="131" spans="1:20" x14ac:dyDescent="0.25">
      <c r="A131" t="s">
        <v>294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f t="shared" ref="J131:J158" si="2">SUM(B131:I131)</f>
        <v>1</v>
      </c>
      <c r="K131">
        <v>0</v>
      </c>
      <c r="L131">
        <v>5.6644880000000002E-2</v>
      </c>
      <c r="M131">
        <v>2.178649E-3</v>
      </c>
      <c r="N131">
        <v>0</v>
      </c>
      <c r="O131">
        <v>8.7145969999999993E-3</v>
      </c>
      <c r="P131">
        <v>0</v>
      </c>
      <c r="Q131">
        <v>6.5359479999999998E-3</v>
      </c>
      <c r="R131">
        <v>459</v>
      </c>
      <c r="S131" t="s">
        <v>279</v>
      </c>
      <c r="T131" t="s">
        <v>283</v>
      </c>
    </row>
    <row r="132" spans="1:20" x14ac:dyDescent="0.25">
      <c r="A132" t="s">
        <v>122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1</v>
      </c>
      <c r="J132">
        <f t="shared" si="2"/>
        <v>3</v>
      </c>
      <c r="K132">
        <v>1.6730037999999999E-2</v>
      </c>
      <c r="L132">
        <v>5.0190114000000001E-2</v>
      </c>
      <c r="M132">
        <v>6.0836500000000003E-3</v>
      </c>
      <c r="N132">
        <v>7.6045599999999996E-4</v>
      </c>
      <c r="O132">
        <v>7.6045629999999999E-3</v>
      </c>
      <c r="P132">
        <v>1.520913E-3</v>
      </c>
      <c r="Q132">
        <v>6.0836500000000003E-3</v>
      </c>
      <c r="R132">
        <v>1315</v>
      </c>
      <c r="S132" t="s">
        <v>301</v>
      </c>
      <c r="T132" t="s">
        <v>280</v>
      </c>
    </row>
    <row r="133" spans="1:20" x14ac:dyDescent="0.25">
      <c r="A133" t="s">
        <v>123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1</v>
      </c>
      <c r="J133">
        <f t="shared" si="2"/>
        <v>2</v>
      </c>
      <c r="K133">
        <v>1.8126888000000001E-2</v>
      </c>
      <c r="L133">
        <v>2.5679758E-2</v>
      </c>
      <c r="M133">
        <v>1.2084592E-2</v>
      </c>
      <c r="N133">
        <v>3.021148E-3</v>
      </c>
      <c r="O133">
        <v>1.510574E-3</v>
      </c>
      <c r="P133">
        <v>4.5317220000000002E-3</v>
      </c>
      <c r="Q133">
        <v>6.042296E-3</v>
      </c>
      <c r="R133">
        <v>662</v>
      </c>
      <c r="S133" t="s">
        <v>659</v>
      </c>
      <c r="T133" t="s">
        <v>285</v>
      </c>
    </row>
    <row r="134" spans="1:20" x14ac:dyDescent="0.25">
      <c r="A134" t="s">
        <v>124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f t="shared" si="2"/>
        <v>1</v>
      </c>
      <c r="K134">
        <v>1.2345679E-2</v>
      </c>
      <c r="L134">
        <v>1.6460905000000001E-2</v>
      </c>
      <c r="M134">
        <v>8.2304530000000004E-3</v>
      </c>
      <c r="N134">
        <v>4.1152259999999996E-3</v>
      </c>
      <c r="O134">
        <v>4.1152259999999996E-3</v>
      </c>
      <c r="P134">
        <v>0</v>
      </c>
      <c r="Q134">
        <v>0</v>
      </c>
      <c r="R134">
        <v>243</v>
      </c>
      <c r="S134" t="s">
        <v>659</v>
      </c>
      <c r="T134" t="s">
        <v>296</v>
      </c>
    </row>
    <row r="135" spans="1:20" x14ac:dyDescent="0.25">
      <c r="A135" t="s">
        <v>125</v>
      </c>
      <c r="B135">
        <v>1</v>
      </c>
      <c r="C135">
        <v>0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f t="shared" si="2"/>
        <v>3</v>
      </c>
      <c r="K135">
        <v>1.1577423999999999E-2</v>
      </c>
      <c r="L135">
        <v>4.3415339999999997E-2</v>
      </c>
      <c r="M135">
        <v>2.8943559999999998E-3</v>
      </c>
      <c r="N135">
        <v>0</v>
      </c>
      <c r="O135">
        <v>2.8943559999999998E-3</v>
      </c>
      <c r="P135">
        <v>1.4471779999999999E-3</v>
      </c>
      <c r="Q135">
        <v>1.4471779999999999E-3</v>
      </c>
      <c r="R135">
        <v>691</v>
      </c>
      <c r="S135" t="s">
        <v>279</v>
      </c>
      <c r="T135" t="s">
        <v>282</v>
      </c>
    </row>
    <row r="136" spans="1:20" x14ac:dyDescent="0.25">
      <c r="A136" t="s">
        <v>126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f t="shared" si="2"/>
        <v>2</v>
      </c>
      <c r="K136">
        <v>5.5658629999999999E-3</v>
      </c>
      <c r="L136">
        <v>2.5974026000000001E-2</v>
      </c>
      <c r="M136">
        <v>1.8552880000000001E-3</v>
      </c>
      <c r="N136">
        <v>1.8552880000000001E-3</v>
      </c>
      <c r="O136">
        <v>5.5658629999999999E-3</v>
      </c>
      <c r="P136">
        <v>1.8552880000000001E-3</v>
      </c>
      <c r="Q136">
        <v>5.5658629999999999E-3</v>
      </c>
      <c r="R136">
        <v>539</v>
      </c>
      <c r="S136" t="s">
        <v>299</v>
      </c>
      <c r="T136" t="s">
        <v>281</v>
      </c>
    </row>
    <row r="137" spans="1:20" x14ac:dyDescent="0.25">
      <c r="A137" t="s">
        <v>127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1</v>
      </c>
      <c r="J137">
        <f t="shared" si="2"/>
        <v>2</v>
      </c>
      <c r="K137">
        <v>1.3986014E-2</v>
      </c>
      <c r="L137">
        <v>3.6130535999999998E-2</v>
      </c>
      <c r="M137">
        <v>4.6620050000000003E-3</v>
      </c>
      <c r="N137">
        <v>0</v>
      </c>
      <c r="O137">
        <v>1.5151515000000001E-2</v>
      </c>
      <c r="P137">
        <v>2.331002E-3</v>
      </c>
      <c r="Q137">
        <v>2.331002E-3</v>
      </c>
      <c r="R137">
        <v>858</v>
      </c>
      <c r="S137" t="s">
        <v>299</v>
      </c>
      <c r="T137" t="s">
        <v>285</v>
      </c>
    </row>
    <row r="138" spans="1:20" x14ac:dyDescent="0.25">
      <c r="A138" t="s">
        <v>128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f t="shared" si="2"/>
        <v>1</v>
      </c>
      <c r="K138">
        <v>1.4613779E-2</v>
      </c>
      <c r="L138">
        <v>3.7578288000000001E-2</v>
      </c>
      <c r="M138">
        <v>1.6701461000000001E-2</v>
      </c>
      <c r="N138">
        <v>0</v>
      </c>
      <c r="O138">
        <v>0</v>
      </c>
      <c r="P138">
        <v>0</v>
      </c>
      <c r="Q138">
        <v>2.0876829999999999E-3</v>
      </c>
      <c r="R138">
        <v>479</v>
      </c>
      <c r="S138" t="s">
        <v>279</v>
      </c>
      <c r="T138" t="s">
        <v>283</v>
      </c>
    </row>
    <row r="139" spans="1:20" x14ac:dyDescent="0.25">
      <c r="A139" t="s">
        <v>129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f t="shared" si="2"/>
        <v>2</v>
      </c>
      <c r="K139">
        <v>4.2194090000000004E-3</v>
      </c>
      <c r="L139">
        <v>4.0084387999999999E-2</v>
      </c>
      <c r="M139">
        <v>5.274262E-3</v>
      </c>
      <c r="N139">
        <v>1.054852E-3</v>
      </c>
      <c r="O139">
        <v>5.274262E-3</v>
      </c>
      <c r="P139">
        <v>0</v>
      </c>
      <c r="Q139">
        <v>3.1645570000000001E-3</v>
      </c>
      <c r="R139">
        <v>948</v>
      </c>
      <c r="S139" t="s">
        <v>279</v>
      </c>
      <c r="T139" t="s">
        <v>298</v>
      </c>
    </row>
    <row r="140" spans="1:20" x14ac:dyDescent="0.25">
      <c r="A140" t="s">
        <v>130</v>
      </c>
      <c r="B140">
        <v>1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1</v>
      </c>
      <c r="J140">
        <f t="shared" si="2"/>
        <v>3</v>
      </c>
      <c r="K140">
        <v>7.8917699999999993E-3</v>
      </c>
      <c r="L140">
        <v>3.0439684000000002E-2</v>
      </c>
      <c r="M140">
        <v>4.5095830000000002E-3</v>
      </c>
      <c r="N140">
        <v>1.1273959999999999E-3</v>
      </c>
      <c r="O140">
        <v>9.0191660000000003E-3</v>
      </c>
      <c r="P140">
        <v>2.2547909999999999E-3</v>
      </c>
      <c r="Q140">
        <v>3.382187E-3</v>
      </c>
      <c r="R140">
        <v>887</v>
      </c>
      <c r="S140" t="s">
        <v>301</v>
      </c>
      <c r="T140" t="s">
        <v>298</v>
      </c>
    </row>
    <row r="141" spans="1:20" x14ac:dyDescent="0.25">
      <c r="A141" t="s">
        <v>131</v>
      </c>
      <c r="B141">
        <v>1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f t="shared" si="2"/>
        <v>2</v>
      </c>
      <c r="K141">
        <v>1.1958145999999999E-2</v>
      </c>
      <c r="L141">
        <v>6.4275036999999993E-2</v>
      </c>
      <c r="M141">
        <v>7.4738419999999996E-3</v>
      </c>
      <c r="N141">
        <v>4.4843050000000001E-3</v>
      </c>
      <c r="O141">
        <v>1.0463378000000001E-2</v>
      </c>
      <c r="P141">
        <v>1.4947680000000001E-3</v>
      </c>
      <c r="Q141">
        <v>2.989537E-3</v>
      </c>
      <c r="R141">
        <v>669</v>
      </c>
      <c r="S141" t="s">
        <v>301</v>
      </c>
      <c r="T141" t="s">
        <v>284</v>
      </c>
    </row>
    <row r="142" spans="1:20" x14ac:dyDescent="0.25">
      <c r="A142" t="s">
        <v>132</v>
      </c>
      <c r="B142">
        <v>1</v>
      </c>
      <c r="C142">
        <v>0</v>
      </c>
      <c r="D142">
        <v>1</v>
      </c>
      <c r="E142">
        <v>1</v>
      </c>
      <c r="F142">
        <v>0</v>
      </c>
      <c r="G142">
        <v>0</v>
      </c>
      <c r="H142">
        <v>1</v>
      </c>
      <c r="I142">
        <v>0</v>
      </c>
      <c r="J142">
        <f t="shared" si="2"/>
        <v>4</v>
      </c>
      <c r="K142">
        <v>1.0118044E-2</v>
      </c>
      <c r="L142">
        <v>2.7824621000000001E-2</v>
      </c>
      <c r="M142">
        <v>4.215852E-3</v>
      </c>
      <c r="N142">
        <v>3.3726810000000002E-3</v>
      </c>
      <c r="O142">
        <v>5.9021919999999997E-3</v>
      </c>
      <c r="P142">
        <v>0</v>
      </c>
      <c r="Q142">
        <v>5.0590219999999998E-3</v>
      </c>
      <c r="R142">
        <v>1186</v>
      </c>
      <c r="S142" t="s">
        <v>301</v>
      </c>
      <c r="T142" t="s">
        <v>283</v>
      </c>
    </row>
    <row r="143" spans="1:20" x14ac:dyDescent="0.25">
      <c r="A143" t="s">
        <v>133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f t="shared" si="2"/>
        <v>1</v>
      </c>
      <c r="K143">
        <v>1.2531328E-2</v>
      </c>
      <c r="L143">
        <v>3.2581454000000003E-2</v>
      </c>
      <c r="M143">
        <v>2.506266E-3</v>
      </c>
      <c r="N143">
        <v>7.5187969999999998E-3</v>
      </c>
      <c r="O143">
        <v>7.5187969999999998E-3</v>
      </c>
      <c r="P143">
        <v>0</v>
      </c>
      <c r="Q143">
        <v>0</v>
      </c>
      <c r="R143">
        <v>399</v>
      </c>
      <c r="S143" t="s">
        <v>279</v>
      </c>
      <c r="T143" t="s">
        <v>296</v>
      </c>
    </row>
    <row r="144" spans="1:20" x14ac:dyDescent="0.25">
      <c r="A144" t="s">
        <v>134</v>
      </c>
      <c r="B144">
        <v>1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1</v>
      </c>
      <c r="J144">
        <f t="shared" si="2"/>
        <v>3</v>
      </c>
      <c r="K144">
        <v>3.4246580000000001E-3</v>
      </c>
      <c r="L144">
        <v>3.4246575000000001E-2</v>
      </c>
      <c r="M144">
        <v>3.4246580000000001E-3</v>
      </c>
      <c r="N144">
        <v>0</v>
      </c>
      <c r="O144">
        <v>1.7123288E-2</v>
      </c>
      <c r="P144">
        <v>0</v>
      </c>
      <c r="Q144">
        <v>0</v>
      </c>
      <c r="R144">
        <v>292</v>
      </c>
      <c r="S144" t="s">
        <v>299</v>
      </c>
      <c r="T144" t="s">
        <v>295</v>
      </c>
    </row>
    <row r="145" spans="1:20" x14ac:dyDescent="0.25">
      <c r="A145" t="s">
        <v>135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f t="shared" si="2"/>
        <v>1</v>
      </c>
      <c r="K145">
        <v>6.1349689999999997E-3</v>
      </c>
      <c r="L145">
        <v>6.1349692999999997E-2</v>
      </c>
      <c r="M145">
        <v>6.1349689999999997E-3</v>
      </c>
      <c r="N145">
        <v>0</v>
      </c>
      <c r="O145">
        <v>1.2269939000000001E-2</v>
      </c>
      <c r="P145">
        <v>6.1349689999999997E-3</v>
      </c>
      <c r="Q145">
        <v>0</v>
      </c>
      <c r="R145">
        <v>163</v>
      </c>
      <c r="S145" t="s">
        <v>279</v>
      </c>
      <c r="T145" t="s">
        <v>283</v>
      </c>
    </row>
    <row r="146" spans="1:20" x14ac:dyDescent="0.25">
      <c r="A146" t="s">
        <v>136</v>
      </c>
      <c r="B146">
        <v>0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f t="shared" si="2"/>
        <v>2</v>
      </c>
      <c r="K146">
        <v>7.3589529999999997E-3</v>
      </c>
      <c r="L146">
        <v>2.9435814000000001E-2</v>
      </c>
      <c r="M146">
        <v>3.2706459999999999E-3</v>
      </c>
      <c r="N146">
        <v>8.1766100000000002E-4</v>
      </c>
      <c r="O146">
        <v>1.0629599E-2</v>
      </c>
      <c r="P146">
        <v>8.1766100000000002E-4</v>
      </c>
      <c r="Q146">
        <v>1.6353229999999999E-3</v>
      </c>
      <c r="R146">
        <v>1223</v>
      </c>
      <c r="S146" t="s">
        <v>299</v>
      </c>
      <c r="T146" t="s">
        <v>281</v>
      </c>
    </row>
    <row r="147" spans="1:20" x14ac:dyDescent="0.25">
      <c r="A147" t="s">
        <v>137</v>
      </c>
      <c r="B147">
        <v>1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f t="shared" si="2"/>
        <v>2</v>
      </c>
      <c r="K147">
        <v>3.1512609999999998E-3</v>
      </c>
      <c r="L147">
        <v>3.8865546000000001E-2</v>
      </c>
      <c r="M147">
        <v>7.352941E-3</v>
      </c>
      <c r="N147">
        <v>0</v>
      </c>
      <c r="O147">
        <v>4.2016809999999996E-3</v>
      </c>
      <c r="P147">
        <v>3.1512609999999998E-3</v>
      </c>
      <c r="Q147">
        <v>4.2016809999999996E-3</v>
      </c>
      <c r="R147">
        <v>952</v>
      </c>
      <c r="S147" t="s">
        <v>301</v>
      </c>
      <c r="T147" t="s">
        <v>280</v>
      </c>
    </row>
    <row r="148" spans="1:20" x14ac:dyDescent="0.25">
      <c r="A148" t="s">
        <v>138</v>
      </c>
      <c r="B148">
        <v>1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1</v>
      </c>
      <c r="J148">
        <f t="shared" si="2"/>
        <v>3</v>
      </c>
      <c r="K148">
        <v>9.313155E-3</v>
      </c>
      <c r="L148">
        <v>2.7939464000000001E-2</v>
      </c>
      <c r="M148">
        <v>2.3282889999999999E-3</v>
      </c>
      <c r="N148">
        <v>3.4924330000000001E-3</v>
      </c>
      <c r="O148">
        <v>4.6565770000000003E-3</v>
      </c>
      <c r="P148">
        <v>1.164144E-3</v>
      </c>
      <c r="Q148">
        <v>6.9848660000000002E-3</v>
      </c>
      <c r="R148">
        <v>859</v>
      </c>
      <c r="S148" t="s">
        <v>301</v>
      </c>
      <c r="T148" t="s">
        <v>285</v>
      </c>
    </row>
    <row r="149" spans="1:20" x14ac:dyDescent="0.25">
      <c r="A149" t="s">
        <v>139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f t="shared" si="2"/>
        <v>1</v>
      </c>
      <c r="K149">
        <v>2.4330900000000002E-3</v>
      </c>
      <c r="L149">
        <v>3.6496349999999997E-2</v>
      </c>
      <c r="M149">
        <v>2.4330900000000002E-3</v>
      </c>
      <c r="N149">
        <v>4.8661800000000003E-3</v>
      </c>
      <c r="O149">
        <v>7.2992700000000001E-3</v>
      </c>
      <c r="P149">
        <v>0</v>
      </c>
      <c r="Q149">
        <v>7.2992700000000001E-3</v>
      </c>
      <c r="R149">
        <v>411</v>
      </c>
      <c r="S149" t="s">
        <v>301</v>
      </c>
      <c r="T149" t="s">
        <v>285</v>
      </c>
    </row>
    <row r="150" spans="1:20" x14ac:dyDescent="0.25">
      <c r="A150" t="s">
        <v>140</v>
      </c>
      <c r="B150">
        <v>1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f t="shared" si="2"/>
        <v>2</v>
      </c>
      <c r="K150">
        <v>3.712871E-3</v>
      </c>
      <c r="L150">
        <v>3.7128713000000001E-2</v>
      </c>
      <c r="M150">
        <v>3.712871E-3</v>
      </c>
      <c r="N150">
        <v>0</v>
      </c>
      <c r="O150">
        <v>1.1138614E-2</v>
      </c>
      <c r="P150">
        <v>2.4752480000000002E-3</v>
      </c>
      <c r="Q150">
        <v>1.2376240000000001E-3</v>
      </c>
      <c r="R150">
        <v>808</v>
      </c>
      <c r="S150" t="s">
        <v>279</v>
      </c>
      <c r="T150" t="s">
        <v>295</v>
      </c>
    </row>
    <row r="151" spans="1:20" x14ac:dyDescent="0.25">
      <c r="A151" t="s">
        <v>141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f t="shared" si="2"/>
        <v>1</v>
      </c>
      <c r="K151">
        <v>6.0240959999999996E-3</v>
      </c>
      <c r="L151">
        <v>3.313253E-2</v>
      </c>
      <c r="M151">
        <v>9.0361450000000006E-3</v>
      </c>
      <c r="N151">
        <v>0</v>
      </c>
      <c r="O151">
        <v>1.3554217E-2</v>
      </c>
      <c r="P151">
        <v>3.0120479999999998E-3</v>
      </c>
      <c r="Q151">
        <v>0</v>
      </c>
      <c r="R151">
        <v>664</v>
      </c>
      <c r="S151" t="s">
        <v>659</v>
      </c>
      <c r="T151" t="s">
        <v>285</v>
      </c>
    </row>
    <row r="152" spans="1:20" x14ac:dyDescent="0.25">
      <c r="A152" t="s">
        <v>142</v>
      </c>
      <c r="B152">
        <v>1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1</v>
      </c>
      <c r="J152">
        <f t="shared" si="2"/>
        <v>3</v>
      </c>
      <c r="K152">
        <v>8.4507039999999999E-3</v>
      </c>
      <c r="L152">
        <v>1.9718309999999999E-2</v>
      </c>
      <c r="M152">
        <v>4.2253519999999999E-3</v>
      </c>
      <c r="N152">
        <v>0</v>
      </c>
      <c r="O152">
        <v>2.8169010000000001E-3</v>
      </c>
      <c r="P152">
        <v>1.408451E-3</v>
      </c>
      <c r="Q152">
        <v>5.6338029999999997E-3</v>
      </c>
      <c r="R152">
        <v>710</v>
      </c>
      <c r="S152" t="s">
        <v>299</v>
      </c>
      <c r="T152" t="s">
        <v>295</v>
      </c>
    </row>
    <row r="153" spans="1:20" x14ac:dyDescent="0.25">
      <c r="A153" t="s">
        <v>143</v>
      </c>
      <c r="B153">
        <v>1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0</v>
      </c>
      <c r="I153">
        <v>1</v>
      </c>
      <c r="J153">
        <f t="shared" si="2"/>
        <v>4</v>
      </c>
      <c r="K153">
        <v>2.4054982999999999E-2</v>
      </c>
      <c r="L153">
        <v>1.7182131E-2</v>
      </c>
      <c r="M153">
        <v>1.7182129999999999E-3</v>
      </c>
      <c r="N153">
        <v>6.8728519999999996E-3</v>
      </c>
      <c r="O153">
        <v>6.8728519999999996E-3</v>
      </c>
      <c r="P153">
        <v>0</v>
      </c>
      <c r="Q153">
        <v>1.7182129999999999E-3</v>
      </c>
      <c r="R153">
        <v>582</v>
      </c>
      <c r="S153" t="s">
        <v>659</v>
      </c>
      <c r="T153" t="s">
        <v>283</v>
      </c>
    </row>
    <row r="154" spans="1:20" x14ac:dyDescent="0.25">
      <c r="A154" t="s">
        <v>144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f t="shared" si="2"/>
        <v>1</v>
      </c>
      <c r="K154">
        <v>6.3291140000000003E-3</v>
      </c>
      <c r="L154">
        <v>2.2784809999999999E-2</v>
      </c>
      <c r="M154">
        <v>2.5316459999999998E-3</v>
      </c>
      <c r="N154">
        <v>0</v>
      </c>
      <c r="O154">
        <v>1.6455695999999999E-2</v>
      </c>
      <c r="P154">
        <v>0</v>
      </c>
      <c r="Q154">
        <v>0</v>
      </c>
      <c r="R154">
        <v>790</v>
      </c>
      <c r="S154" t="s">
        <v>279</v>
      </c>
      <c r="T154" t="s">
        <v>295</v>
      </c>
    </row>
    <row r="155" spans="1:20" x14ac:dyDescent="0.25">
      <c r="A155" t="s">
        <v>145</v>
      </c>
      <c r="B155">
        <v>1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1</v>
      </c>
      <c r="J155">
        <f t="shared" si="2"/>
        <v>3</v>
      </c>
      <c r="K155">
        <v>1.1207969999999999E-2</v>
      </c>
      <c r="L155">
        <v>2.1170609999999999E-2</v>
      </c>
      <c r="M155">
        <v>9.96264E-3</v>
      </c>
      <c r="N155">
        <v>2.49066E-3</v>
      </c>
      <c r="O155">
        <v>4.98132E-3</v>
      </c>
      <c r="P155">
        <v>2.49066E-3</v>
      </c>
      <c r="Q155">
        <v>0</v>
      </c>
      <c r="R155">
        <v>803</v>
      </c>
      <c r="S155" t="s">
        <v>279</v>
      </c>
      <c r="T155" t="s">
        <v>283</v>
      </c>
    </row>
    <row r="156" spans="1:20" x14ac:dyDescent="0.25">
      <c r="A156" t="s">
        <v>146</v>
      </c>
      <c r="B156">
        <v>1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f t="shared" si="2"/>
        <v>2</v>
      </c>
      <c r="K156">
        <v>1.1135857000000001E-2</v>
      </c>
      <c r="L156">
        <v>6.9042316000000006E-2</v>
      </c>
      <c r="M156">
        <v>2.227171E-3</v>
      </c>
      <c r="N156">
        <v>0</v>
      </c>
      <c r="O156">
        <v>6.6815140000000004E-3</v>
      </c>
      <c r="P156">
        <v>0</v>
      </c>
      <c r="Q156">
        <v>6.6815140000000004E-3</v>
      </c>
      <c r="R156">
        <v>449</v>
      </c>
      <c r="S156" t="s">
        <v>279</v>
      </c>
      <c r="T156" t="s">
        <v>285</v>
      </c>
    </row>
    <row r="157" spans="1:20" x14ac:dyDescent="0.25">
      <c r="A157" t="s">
        <v>147</v>
      </c>
      <c r="B157">
        <v>1</v>
      </c>
      <c r="C157">
        <v>1</v>
      </c>
      <c r="D157">
        <v>0</v>
      </c>
      <c r="E157">
        <v>1</v>
      </c>
      <c r="F157">
        <v>1</v>
      </c>
      <c r="G157">
        <v>0</v>
      </c>
      <c r="H157">
        <v>1</v>
      </c>
      <c r="I157">
        <v>1</v>
      </c>
      <c r="J157">
        <f t="shared" si="2"/>
        <v>6</v>
      </c>
      <c r="K157">
        <v>4.7475180000000001E-3</v>
      </c>
      <c r="L157">
        <v>2.8916702999999998E-2</v>
      </c>
      <c r="M157">
        <v>3.4527410000000001E-3</v>
      </c>
      <c r="N157">
        <v>1.7263700000000001E-3</v>
      </c>
      <c r="O157">
        <v>3.4527410000000001E-3</v>
      </c>
      <c r="P157">
        <v>1.2947779999999999E-3</v>
      </c>
      <c r="Q157">
        <v>3.4527410000000001E-3</v>
      </c>
      <c r="R157">
        <v>2317</v>
      </c>
      <c r="S157" t="s">
        <v>301</v>
      </c>
      <c r="T157" t="s">
        <v>285</v>
      </c>
    </row>
    <row r="158" spans="1:20" x14ac:dyDescent="0.25">
      <c r="A158" t="s">
        <v>148</v>
      </c>
      <c r="B158">
        <v>1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f t="shared" si="2"/>
        <v>2</v>
      </c>
      <c r="K158">
        <v>1.3669821E-2</v>
      </c>
      <c r="L158">
        <v>3.9957938999999998E-2</v>
      </c>
      <c r="M158">
        <v>2.1030490000000001E-3</v>
      </c>
      <c r="N158">
        <v>0</v>
      </c>
      <c r="O158">
        <v>5.2576239999999998E-3</v>
      </c>
      <c r="P158">
        <v>2.1030490000000001E-3</v>
      </c>
      <c r="Q158">
        <v>6.3091479999999997E-3</v>
      </c>
      <c r="R158">
        <v>951</v>
      </c>
      <c r="S158" t="s">
        <v>299</v>
      </c>
      <c r="T158" t="s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"/>
  <sheetViews>
    <sheetView topLeftCell="A96" workbookViewId="0">
      <selection activeCell="B96" sqref="B1:C1048576"/>
    </sheetView>
  </sheetViews>
  <sheetFormatPr defaultRowHeight="15" x14ac:dyDescent="0.25"/>
  <cols>
    <col min="1" max="1" width="31.28515625" bestFit="1" customWidth="1"/>
    <col min="2" max="2" width="21.85546875" bestFit="1" customWidth="1"/>
    <col min="3" max="3" width="22.5703125" bestFit="1" customWidth="1"/>
    <col min="5" max="5" width="85.7109375" bestFit="1" customWidth="1"/>
  </cols>
  <sheetData>
    <row r="1" spans="1:5" x14ac:dyDescent="0.25">
      <c r="A1" t="s">
        <v>0</v>
      </c>
      <c r="B1" t="s">
        <v>277</v>
      </c>
      <c r="C1" t="s">
        <v>278</v>
      </c>
      <c r="E1" t="s">
        <v>655</v>
      </c>
    </row>
    <row r="2" spans="1:5" x14ac:dyDescent="0.25">
      <c r="A2" t="s">
        <v>1</v>
      </c>
      <c r="B2" t="s">
        <v>300</v>
      </c>
      <c r="C2" t="s">
        <v>283</v>
      </c>
    </row>
    <row r="3" spans="1:5" x14ac:dyDescent="0.25">
      <c r="A3" t="s">
        <v>2</v>
      </c>
      <c r="B3" t="s">
        <v>300</v>
      </c>
      <c r="C3" t="s">
        <v>285</v>
      </c>
    </row>
    <row r="4" spans="1:5" x14ac:dyDescent="0.25">
      <c r="A4" t="s">
        <v>3</v>
      </c>
      <c r="B4" t="s">
        <v>279</v>
      </c>
      <c r="C4" t="s">
        <v>280</v>
      </c>
    </row>
    <row r="5" spans="1:5" x14ac:dyDescent="0.25">
      <c r="A5" t="s">
        <v>4</v>
      </c>
      <c r="B5" t="s">
        <v>300</v>
      </c>
      <c r="C5" t="s">
        <v>284</v>
      </c>
    </row>
    <row r="6" spans="1:5" x14ac:dyDescent="0.25">
      <c r="A6" t="s">
        <v>5</v>
      </c>
      <c r="B6" t="s">
        <v>299</v>
      </c>
      <c r="C6" t="s">
        <v>281</v>
      </c>
    </row>
    <row r="7" spans="1:5" x14ac:dyDescent="0.25">
      <c r="A7" t="s">
        <v>6</v>
      </c>
      <c r="B7" t="s">
        <v>279</v>
      </c>
      <c r="C7" t="s">
        <v>281</v>
      </c>
    </row>
    <row r="8" spans="1:5" x14ac:dyDescent="0.25">
      <c r="A8" t="s">
        <v>7</v>
      </c>
      <c r="B8" t="s">
        <v>299</v>
      </c>
      <c r="C8" t="s">
        <v>295</v>
      </c>
    </row>
    <row r="9" spans="1:5" x14ac:dyDescent="0.25">
      <c r="A9" t="s">
        <v>8</v>
      </c>
      <c r="B9" t="s">
        <v>299</v>
      </c>
      <c r="C9" t="s">
        <v>282</v>
      </c>
    </row>
    <row r="10" spans="1:5" x14ac:dyDescent="0.25">
      <c r="A10" t="s">
        <v>9</v>
      </c>
      <c r="B10" t="s">
        <v>279</v>
      </c>
      <c r="C10" t="s">
        <v>282</v>
      </c>
    </row>
    <row r="11" spans="1:5" x14ac:dyDescent="0.25">
      <c r="A11" t="s">
        <v>10</v>
      </c>
      <c r="B11" t="s">
        <v>299</v>
      </c>
      <c r="C11" t="s">
        <v>295</v>
      </c>
    </row>
    <row r="12" spans="1:5" x14ac:dyDescent="0.25">
      <c r="A12" t="s">
        <v>11</v>
      </c>
      <c r="B12" t="s">
        <v>299</v>
      </c>
      <c r="C12" t="s">
        <v>285</v>
      </c>
    </row>
    <row r="13" spans="1:5" x14ac:dyDescent="0.25">
      <c r="A13" t="s">
        <v>12</v>
      </c>
      <c r="B13" t="s">
        <v>279</v>
      </c>
      <c r="C13" t="s">
        <v>283</v>
      </c>
    </row>
    <row r="14" spans="1:5" x14ac:dyDescent="0.25">
      <c r="A14" t="s">
        <v>286</v>
      </c>
      <c r="B14" t="s">
        <v>299</v>
      </c>
      <c r="C14" t="s">
        <v>282</v>
      </c>
    </row>
    <row r="15" spans="1:5" x14ac:dyDescent="0.25">
      <c r="A15" t="s">
        <v>287</v>
      </c>
      <c r="B15" t="s">
        <v>299</v>
      </c>
      <c r="C15" t="s">
        <v>281</v>
      </c>
    </row>
    <row r="16" spans="1:5" x14ac:dyDescent="0.25">
      <c r="A16" t="s">
        <v>13</v>
      </c>
      <c r="B16" t="s">
        <v>300</v>
      </c>
      <c r="C16" t="s">
        <v>285</v>
      </c>
    </row>
    <row r="17" spans="1:3" x14ac:dyDescent="0.25">
      <c r="A17" t="s">
        <v>288</v>
      </c>
      <c r="B17" t="s">
        <v>279</v>
      </c>
      <c r="C17" t="s">
        <v>284</v>
      </c>
    </row>
    <row r="18" spans="1:3" x14ac:dyDescent="0.25">
      <c r="A18" t="s">
        <v>14</v>
      </c>
      <c r="B18" t="s">
        <v>300</v>
      </c>
      <c r="C18" t="s">
        <v>284</v>
      </c>
    </row>
    <row r="19" spans="1:3" x14ac:dyDescent="0.25">
      <c r="A19" t="s">
        <v>15</v>
      </c>
      <c r="B19" t="s">
        <v>299</v>
      </c>
      <c r="C19" t="s">
        <v>285</v>
      </c>
    </row>
    <row r="20" spans="1:3" x14ac:dyDescent="0.25">
      <c r="A20" t="s">
        <v>16</v>
      </c>
      <c r="B20" t="s">
        <v>279</v>
      </c>
      <c r="C20" t="s">
        <v>285</v>
      </c>
    </row>
    <row r="21" spans="1:3" x14ac:dyDescent="0.25">
      <c r="A21" t="s">
        <v>289</v>
      </c>
      <c r="B21" t="s">
        <v>300</v>
      </c>
      <c r="C21" t="s">
        <v>283</v>
      </c>
    </row>
    <row r="22" spans="1:3" x14ac:dyDescent="0.25">
      <c r="A22" t="s">
        <v>17</v>
      </c>
      <c r="B22" t="s">
        <v>299</v>
      </c>
      <c r="C22" t="s">
        <v>281</v>
      </c>
    </row>
    <row r="23" spans="1:3" x14ac:dyDescent="0.25">
      <c r="A23" t="s">
        <v>18</v>
      </c>
      <c r="B23" t="s">
        <v>299</v>
      </c>
      <c r="C23" t="s">
        <v>296</v>
      </c>
    </row>
    <row r="24" spans="1:3" x14ac:dyDescent="0.25">
      <c r="A24" t="s">
        <v>19</v>
      </c>
      <c r="B24" t="s">
        <v>279</v>
      </c>
      <c r="C24" t="s">
        <v>280</v>
      </c>
    </row>
    <row r="25" spans="1:3" x14ac:dyDescent="0.25">
      <c r="A25" t="s">
        <v>20</v>
      </c>
      <c r="B25" t="s">
        <v>279</v>
      </c>
      <c r="C25" t="s">
        <v>285</v>
      </c>
    </row>
    <row r="26" spans="1:3" x14ac:dyDescent="0.25">
      <c r="A26" t="s">
        <v>21</v>
      </c>
      <c r="B26" t="s">
        <v>300</v>
      </c>
      <c r="C26" t="s">
        <v>285</v>
      </c>
    </row>
    <row r="27" spans="1:3" x14ac:dyDescent="0.25">
      <c r="A27" t="s">
        <v>22</v>
      </c>
      <c r="B27" t="s">
        <v>299</v>
      </c>
      <c r="C27" t="s">
        <v>283</v>
      </c>
    </row>
    <row r="28" spans="1:3" x14ac:dyDescent="0.25">
      <c r="A28" t="s">
        <v>23</v>
      </c>
      <c r="B28" t="s">
        <v>300</v>
      </c>
      <c r="C28" t="s">
        <v>283</v>
      </c>
    </row>
    <row r="29" spans="1:3" x14ac:dyDescent="0.25">
      <c r="A29" t="s">
        <v>24</v>
      </c>
      <c r="B29" t="s">
        <v>279</v>
      </c>
      <c r="C29" t="s">
        <v>285</v>
      </c>
    </row>
    <row r="30" spans="1:3" x14ac:dyDescent="0.25">
      <c r="A30" t="s">
        <v>25</v>
      </c>
      <c r="B30" t="s">
        <v>300</v>
      </c>
      <c r="C30" t="s">
        <v>295</v>
      </c>
    </row>
    <row r="31" spans="1:3" x14ac:dyDescent="0.25">
      <c r="A31" t="s">
        <v>26</v>
      </c>
      <c r="B31" t="s">
        <v>300</v>
      </c>
      <c r="C31" t="s">
        <v>285</v>
      </c>
    </row>
    <row r="32" spans="1:3" x14ac:dyDescent="0.25">
      <c r="A32" t="s">
        <v>27</v>
      </c>
      <c r="B32" t="s">
        <v>300</v>
      </c>
      <c r="C32" t="s">
        <v>285</v>
      </c>
    </row>
    <row r="33" spans="1:3" x14ac:dyDescent="0.25">
      <c r="A33" t="s">
        <v>28</v>
      </c>
      <c r="B33" t="s">
        <v>279</v>
      </c>
      <c r="C33" t="s">
        <v>285</v>
      </c>
    </row>
    <row r="34" spans="1:3" x14ac:dyDescent="0.25">
      <c r="A34" t="s">
        <v>290</v>
      </c>
      <c r="B34" t="s">
        <v>279</v>
      </c>
      <c r="C34" t="s">
        <v>285</v>
      </c>
    </row>
    <row r="35" spans="1:3" x14ac:dyDescent="0.25">
      <c r="A35" t="s">
        <v>29</v>
      </c>
      <c r="B35" t="s">
        <v>301</v>
      </c>
      <c r="C35" t="s">
        <v>298</v>
      </c>
    </row>
    <row r="36" spans="1:3" x14ac:dyDescent="0.25">
      <c r="A36" t="s">
        <v>30</v>
      </c>
      <c r="B36" t="s">
        <v>299</v>
      </c>
      <c r="C36" t="s">
        <v>280</v>
      </c>
    </row>
    <row r="37" spans="1:3" x14ac:dyDescent="0.25">
      <c r="A37" t="s">
        <v>31</v>
      </c>
      <c r="B37" t="s">
        <v>299</v>
      </c>
      <c r="C37" t="s">
        <v>281</v>
      </c>
    </row>
    <row r="38" spans="1:3" x14ac:dyDescent="0.25">
      <c r="A38" t="s">
        <v>32</v>
      </c>
      <c r="B38" t="s">
        <v>279</v>
      </c>
      <c r="C38" t="s">
        <v>285</v>
      </c>
    </row>
    <row r="39" spans="1:3" x14ac:dyDescent="0.25">
      <c r="A39" t="s">
        <v>33</v>
      </c>
      <c r="B39" t="s">
        <v>299</v>
      </c>
      <c r="C39" t="s">
        <v>281</v>
      </c>
    </row>
    <row r="40" spans="1:3" x14ac:dyDescent="0.25">
      <c r="A40" t="s">
        <v>291</v>
      </c>
      <c r="B40" t="s">
        <v>301</v>
      </c>
      <c r="C40" t="s">
        <v>298</v>
      </c>
    </row>
    <row r="41" spans="1:3" x14ac:dyDescent="0.25">
      <c r="A41" t="s">
        <v>34</v>
      </c>
      <c r="B41" t="s">
        <v>299</v>
      </c>
      <c r="C41" t="s">
        <v>285</v>
      </c>
    </row>
    <row r="42" spans="1:3" x14ac:dyDescent="0.25">
      <c r="A42" t="s">
        <v>35</v>
      </c>
      <c r="B42" t="s">
        <v>299</v>
      </c>
      <c r="C42" t="s">
        <v>281</v>
      </c>
    </row>
    <row r="43" spans="1:3" x14ac:dyDescent="0.25">
      <c r="A43" t="s">
        <v>36</v>
      </c>
      <c r="B43" t="s">
        <v>279</v>
      </c>
      <c r="C43" t="s">
        <v>285</v>
      </c>
    </row>
    <row r="44" spans="1:3" x14ac:dyDescent="0.25">
      <c r="A44" t="s">
        <v>37</v>
      </c>
      <c r="B44" t="s">
        <v>299</v>
      </c>
      <c r="C44" t="s">
        <v>283</v>
      </c>
    </row>
    <row r="45" spans="1:3" x14ac:dyDescent="0.25">
      <c r="A45" t="s">
        <v>38</v>
      </c>
      <c r="B45" t="s">
        <v>300</v>
      </c>
      <c r="C45" t="s">
        <v>284</v>
      </c>
    </row>
    <row r="46" spans="1:3" x14ac:dyDescent="0.25">
      <c r="A46" t="s">
        <v>39</v>
      </c>
      <c r="B46" t="s">
        <v>299</v>
      </c>
      <c r="C46" t="s">
        <v>295</v>
      </c>
    </row>
    <row r="47" spans="1:3" x14ac:dyDescent="0.25">
      <c r="A47" t="s">
        <v>40</v>
      </c>
      <c r="B47" t="s">
        <v>300</v>
      </c>
      <c r="C47" t="s">
        <v>285</v>
      </c>
    </row>
    <row r="48" spans="1:3" x14ac:dyDescent="0.25">
      <c r="A48" t="s">
        <v>41</v>
      </c>
      <c r="B48" t="s">
        <v>300</v>
      </c>
      <c r="C48" t="s">
        <v>282</v>
      </c>
    </row>
    <row r="49" spans="1:3" x14ac:dyDescent="0.25">
      <c r="A49" t="s">
        <v>42</v>
      </c>
      <c r="B49" t="s">
        <v>300</v>
      </c>
      <c r="C49" t="s">
        <v>285</v>
      </c>
    </row>
    <row r="50" spans="1:3" x14ac:dyDescent="0.25">
      <c r="A50" t="s">
        <v>43</v>
      </c>
      <c r="B50" t="s">
        <v>301</v>
      </c>
      <c r="C50" t="s">
        <v>297</v>
      </c>
    </row>
    <row r="51" spans="1:3" x14ac:dyDescent="0.25">
      <c r="A51" t="s">
        <v>44</v>
      </c>
      <c r="B51" t="s">
        <v>279</v>
      </c>
      <c r="C51" t="s">
        <v>285</v>
      </c>
    </row>
    <row r="52" spans="1:3" x14ac:dyDescent="0.25">
      <c r="A52" t="s">
        <v>45</v>
      </c>
      <c r="B52" t="s">
        <v>299</v>
      </c>
      <c r="C52" t="s">
        <v>283</v>
      </c>
    </row>
    <row r="53" spans="1:3" x14ac:dyDescent="0.25">
      <c r="A53" t="s">
        <v>46</v>
      </c>
      <c r="B53" t="s">
        <v>299</v>
      </c>
      <c r="C53" t="s">
        <v>285</v>
      </c>
    </row>
    <row r="54" spans="1:3" x14ac:dyDescent="0.25">
      <c r="A54" t="s">
        <v>47</v>
      </c>
      <c r="B54" t="s">
        <v>299</v>
      </c>
      <c r="C54" t="s">
        <v>295</v>
      </c>
    </row>
    <row r="55" spans="1:3" x14ac:dyDescent="0.25">
      <c r="A55" t="s">
        <v>48</v>
      </c>
      <c r="B55" t="s">
        <v>300</v>
      </c>
      <c r="C55" t="s">
        <v>284</v>
      </c>
    </row>
    <row r="56" spans="1:3" x14ac:dyDescent="0.25">
      <c r="A56" t="s">
        <v>49</v>
      </c>
      <c r="B56" t="s">
        <v>301</v>
      </c>
      <c r="C56" t="s">
        <v>285</v>
      </c>
    </row>
    <row r="57" spans="1:3" x14ac:dyDescent="0.25">
      <c r="A57" t="s">
        <v>50</v>
      </c>
      <c r="B57" t="s">
        <v>279</v>
      </c>
      <c r="C57" t="s">
        <v>282</v>
      </c>
    </row>
    <row r="58" spans="1:3" x14ac:dyDescent="0.25">
      <c r="A58" t="s">
        <v>51</v>
      </c>
      <c r="B58" t="s">
        <v>279</v>
      </c>
      <c r="C58" t="s">
        <v>295</v>
      </c>
    </row>
    <row r="59" spans="1:3" x14ac:dyDescent="0.25">
      <c r="A59" t="s">
        <v>52</v>
      </c>
      <c r="B59" t="s">
        <v>301</v>
      </c>
      <c r="C59" t="s">
        <v>285</v>
      </c>
    </row>
    <row r="60" spans="1:3" x14ac:dyDescent="0.25">
      <c r="A60" t="s">
        <v>53</v>
      </c>
      <c r="B60" t="s">
        <v>299</v>
      </c>
      <c r="C60" t="s">
        <v>285</v>
      </c>
    </row>
    <row r="61" spans="1:3" x14ac:dyDescent="0.25">
      <c r="A61" t="s">
        <v>54</v>
      </c>
      <c r="B61" t="s">
        <v>300</v>
      </c>
      <c r="C61" t="s">
        <v>283</v>
      </c>
    </row>
    <row r="62" spans="1:3" x14ac:dyDescent="0.25">
      <c r="A62" t="s">
        <v>55</v>
      </c>
      <c r="B62" t="s">
        <v>301</v>
      </c>
      <c r="C62" t="s">
        <v>285</v>
      </c>
    </row>
    <row r="63" spans="1:3" x14ac:dyDescent="0.25">
      <c r="A63" t="s">
        <v>56</v>
      </c>
      <c r="B63" t="s">
        <v>279</v>
      </c>
      <c r="C63" t="s">
        <v>295</v>
      </c>
    </row>
    <row r="64" spans="1:3" x14ac:dyDescent="0.25">
      <c r="A64" t="s">
        <v>57</v>
      </c>
      <c r="B64" t="s">
        <v>301</v>
      </c>
      <c r="C64" t="s">
        <v>280</v>
      </c>
    </row>
    <row r="65" spans="1:3" x14ac:dyDescent="0.25">
      <c r="A65" t="s">
        <v>58</v>
      </c>
      <c r="B65" t="s">
        <v>299</v>
      </c>
      <c r="C65" t="s">
        <v>285</v>
      </c>
    </row>
    <row r="66" spans="1:3" x14ac:dyDescent="0.25">
      <c r="A66" t="s">
        <v>59</v>
      </c>
      <c r="B66" t="s">
        <v>301</v>
      </c>
      <c r="C66" t="s">
        <v>282</v>
      </c>
    </row>
    <row r="67" spans="1:3" x14ac:dyDescent="0.25">
      <c r="A67" t="s">
        <v>60</v>
      </c>
      <c r="B67" t="s">
        <v>279</v>
      </c>
      <c r="C67" t="s">
        <v>285</v>
      </c>
    </row>
    <row r="68" spans="1:3" x14ac:dyDescent="0.25">
      <c r="A68" t="s">
        <v>61</v>
      </c>
      <c r="B68" t="s">
        <v>301</v>
      </c>
      <c r="C68" t="s">
        <v>296</v>
      </c>
    </row>
    <row r="69" spans="1:3" x14ac:dyDescent="0.25">
      <c r="A69" t="s">
        <v>62</v>
      </c>
      <c r="B69" t="s">
        <v>301</v>
      </c>
      <c r="C69" t="s">
        <v>285</v>
      </c>
    </row>
    <row r="70" spans="1:3" x14ac:dyDescent="0.25">
      <c r="A70" t="s">
        <v>63</v>
      </c>
      <c r="B70" t="s">
        <v>299</v>
      </c>
      <c r="C70" t="s">
        <v>280</v>
      </c>
    </row>
    <row r="71" spans="1:3" x14ac:dyDescent="0.25">
      <c r="A71" t="s">
        <v>64</v>
      </c>
      <c r="B71" t="s">
        <v>279</v>
      </c>
      <c r="C71" t="s">
        <v>285</v>
      </c>
    </row>
    <row r="72" spans="1:3" x14ac:dyDescent="0.25">
      <c r="A72" t="s">
        <v>65</v>
      </c>
      <c r="B72" t="s">
        <v>279</v>
      </c>
      <c r="C72" t="s">
        <v>297</v>
      </c>
    </row>
    <row r="73" spans="1:3" x14ac:dyDescent="0.25">
      <c r="A73" t="s">
        <v>66</v>
      </c>
      <c r="B73" t="s">
        <v>300</v>
      </c>
      <c r="C73" t="s">
        <v>285</v>
      </c>
    </row>
    <row r="74" spans="1:3" x14ac:dyDescent="0.25">
      <c r="A74" t="s">
        <v>292</v>
      </c>
      <c r="B74" t="s">
        <v>299</v>
      </c>
      <c r="C74" t="s">
        <v>297</v>
      </c>
    </row>
    <row r="75" spans="1:3" x14ac:dyDescent="0.25">
      <c r="A75" t="s">
        <v>67</v>
      </c>
      <c r="B75" t="s">
        <v>300</v>
      </c>
      <c r="C75" t="s">
        <v>283</v>
      </c>
    </row>
    <row r="76" spans="1:3" x14ac:dyDescent="0.25">
      <c r="A76" t="s">
        <v>68</v>
      </c>
      <c r="B76" t="s">
        <v>300</v>
      </c>
      <c r="C76" t="s">
        <v>283</v>
      </c>
    </row>
    <row r="77" spans="1:3" x14ac:dyDescent="0.25">
      <c r="A77" t="s">
        <v>69</v>
      </c>
      <c r="B77" t="s">
        <v>299</v>
      </c>
      <c r="C77" t="s">
        <v>295</v>
      </c>
    </row>
    <row r="78" spans="1:3" x14ac:dyDescent="0.25">
      <c r="A78" t="s">
        <v>70</v>
      </c>
      <c r="B78" t="s">
        <v>300</v>
      </c>
      <c r="C78" t="s">
        <v>283</v>
      </c>
    </row>
    <row r="79" spans="1:3" x14ac:dyDescent="0.25">
      <c r="A79" t="s">
        <v>71</v>
      </c>
      <c r="B79" t="s">
        <v>301</v>
      </c>
      <c r="C79" t="s">
        <v>281</v>
      </c>
    </row>
    <row r="80" spans="1:3" x14ac:dyDescent="0.25">
      <c r="A80" t="s">
        <v>72</v>
      </c>
      <c r="B80" t="s">
        <v>299</v>
      </c>
      <c r="C80" t="s">
        <v>295</v>
      </c>
    </row>
    <row r="81" spans="1:3" x14ac:dyDescent="0.25">
      <c r="A81" t="s">
        <v>73</v>
      </c>
      <c r="B81" t="s">
        <v>279</v>
      </c>
      <c r="C81" t="s">
        <v>295</v>
      </c>
    </row>
    <row r="82" spans="1:3" x14ac:dyDescent="0.25">
      <c r="A82" t="s">
        <v>74</v>
      </c>
      <c r="B82" t="s">
        <v>300</v>
      </c>
      <c r="C82" t="s">
        <v>285</v>
      </c>
    </row>
    <row r="83" spans="1:3" x14ac:dyDescent="0.25">
      <c r="A83" t="s">
        <v>75</v>
      </c>
      <c r="B83" t="s">
        <v>301</v>
      </c>
      <c r="C83" t="s">
        <v>285</v>
      </c>
    </row>
    <row r="84" spans="1:3" x14ac:dyDescent="0.25">
      <c r="A84" t="s">
        <v>76</v>
      </c>
      <c r="B84" t="s">
        <v>301</v>
      </c>
      <c r="C84" t="s">
        <v>280</v>
      </c>
    </row>
    <row r="85" spans="1:3" x14ac:dyDescent="0.25">
      <c r="A85" t="s">
        <v>77</v>
      </c>
      <c r="B85" t="s">
        <v>300</v>
      </c>
      <c r="C85" t="s">
        <v>283</v>
      </c>
    </row>
    <row r="86" spans="1:3" x14ac:dyDescent="0.25">
      <c r="A86" t="s">
        <v>78</v>
      </c>
      <c r="B86" t="s">
        <v>299</v>
      </c>
      <c r="C86" t="s">
        <v>295</v>
      </c>
    </row>
    <row r="87" spans="1:3" x14ac:dyDescent="0.25">
      <c r="A87" t="s">
        <v>79</v>
      </c>
      <c r="B87" t="s">
        <v>303</v>
      </c>
      <c r="C87" t="s">
        <v>284</v>
      </c>
    </row>
    <row r="88" spans="1:3" x14ac:dyDescent="0.25">
      <c r="A88" t="s">
        <v>80</v>
      </c>
      <c r="B88" t="s">
        <v>301</v>
      </c>
      <c r="C88" t="s">
        <v>302</v>
      </c>
    </row>
    <row r="89" spans="1:3" x14ac:dyDescent="0.25">
      <c r="A89" t="s">
        <v>81</v>
      </c>
      <c r="B89" t="s">
        <v>300</v>
      </c>
      <c r="C89" t="s">
        <v>283</v>
      </c>
    </row>
    <row r="90" spans="1:3" x14ac:dyDescent="0.25">
      <c r="A90" t="s">
        <v>82</v>
      </c>
      <c r="B90" t="s">
        <v>300</v>
      </c>
      <c r="C90" t="s">
        <v>284</v>
      </c>
    </row>
    <row r="91" spans="1:3" x14ac:dyDescent="0.25">
      <c r="A91" t="s">
        <v>83</v>
      </c>
      <c r="B91" t="s">
        <v>279</v>
      </c>
      <c r="C91" t="s">
        <v>284</v>
      </c>
    </row>
    <row r="92" spans="1:3" x14ac:dyDescent="0.25">
      <c r="A92" t="s">
        <v>84</v>
      </c>
      <c r="B92" t="s">
        <v>299</v>
      </c>
      <c r="C92" t="s">
        <v>295</v>
      </c>
    </row>
    <row r="93" spans="1:3" x14ac:dyDescent="0.25">
      <c r="A93" t="s">
        <v>85</v>
      </c>
      <c r="B93" t="s">
        <v>301</v>
      </c>
      <c r="C93" t="s">
        <v>298</v>
      </c>
    </row>
    <row r="94" spans="1:3" x14ac:dyDescent="0.25">
      <c r="A94" t="s">
        <v>86</v>
      </c>
      <c r="B94" t="s">
        <v>301</v>
      </c>
      <c r="C94" t="s">
        <v>295</v>
      </c>
    </row>
    <row r="95" spans="1:3" x14ac:dyDescent="0.25">
      <c r="A95" t="s">
        <v>87</v>
      </c>
      <c r="B95" t="s">
        <v>301</v>
      </c>
      <c r="C95" t="s">
        <v>281</v>
      </c>
    </row>
    <row r="96" spans="1:3" x14ac:dyDescent="0.25">
      <c r="A96" t="s">
        <v>88</v>
      </c>
      <c r="B96" t="s">
        <v>300</v>
      </c>
      <c r="C96" t="s">
        <v>285</v>
      </c>
    </row>
    <row r="97" spans="1:3" x14ac:dyDescent="0.25">
      <c r="A97" t="s">
        <v>89</v>
      </c>
      <c r="B97" t="s">
        <v>279</v>
      </c>
      <c r="C97" t="s">
        <v>285</v>
      </c>
    </row>
    <row r="98" spans="1:3" x14ac:dyDescent="0.25">
      <c r="A98" t="s">
        <v>293</v>
      </c>
      <c r="B98" t="s">
        <v>299</v>
      </c>
      <c r="C98" t="s">
        <v>282</v>
      </c>
    </row>
    <row r="99" spans="1:3" x14ac:dyDescent="0.25">
      <c r="A99" t="s">
        <v>90</v>
      </c>
      <c r="B99" t="s">
        <v>299</v>
      </c>
      <c r="C99" t="s">
        <v>281</v>
      </c>
    </row>
    <row r="100" spans="1:3" x14ac:dyDescent="0.25">
      <c r="A100" t="s">
        <v>91</v>
      </c>
      <c r="B100" t="s">
        <v>279</v>
      </c>
      <c r="C100" t="s">
        <v>284</v>
      </c>
    </row>
    <row r="101" spans="1:3" x14ac:dyDescent="0.25">
      <c r="A101" t="s">
        <v>92</v>
      </c>
      <c r="B101" t="s">
        <v>299</v>
      </c>
      <c r="C101" t="s">
        <v>284</v>
      </c>
    </row>
    <row r="102" spans="1:3" x14ac:dyDescent="0.25">
      <c r="A102" t="s">
        <v>93</v>
      </c>
      <c r="B102" t="s">
        <v>279</v>
      </c>
      <c r="C102" t="s">
        <v>295</v>
      </c>
    </row>
    <row r="103" spans="1:3" x14ac:dyDescent="0.25">
      <c r="A103" t="s">
        <v>94</v>
      </c>
      <c r="B103" t="s">
        <v>301</v>
      </c>
      <c r="C103" t="s">
        <v>280</v>
      </c>
    </row>
    <row r="104" spans="1:3" x14ac:dyDescent="0.25">
      <c r="A104" t="s">
        <v>95</v>
      </c>
      <c r="B104" t="s">
        <v>279</v>
      </c>
      <c r="C104" t="s">
        <v>281</v>
      </c>
    </row>
    <row r="105" spans="1:3" x14ac:dyDescent="0.25">
      <c r="A105" t="s">
        <v>96</v>
      </c>
      <c r="B105" t="s">
        <v>299</v>
      </c>
      <c r="C105" t="s">
        <v>284</v>
      </c>
    </row>
    <row r="106" spans="1:3" x14ac:dyDescent="0.25">
      <c r="A106" t="s">
        <v>97</v>
      </c>
      <c r="B106" t="s">
        <v>299</v>
      </c>
      <c r="C106" t="s">
        <v>285</v>
      </c>
    </row>
    <row r="107" spans="1:3" x14ac:dyDescent="0.25">
      <c r="A107" t="s">
        <v>98</v>
      </c>
      <c r="B107" t="s">
        <v>299</v>
      </c>
      <c r="C107" t="s">
        <v>285</v>
      </c>
    </row>
    <row r="108" spans="1:3" x14ac:dyDescent="0.25">
      <c r="A108" t="s">
        <v>99</v>
      </c>
      <c r="B108" t="s">
        <v>299</v>
      </c>
      <c r="C108" t="s">
        <v>295</v>
      </c>
    </row>
    <row r="109" spans="1:3" x14ac:dyDescent="0.25">
      <c r="A109" t="s">
        <v>100</v>
      </c>
      <c r="B109" t="s">
        <v>279</v>
      </c>
      <c r="C109" t="s">
        <v>283</v>
      </c>
    </row>
    <row r="110" spans="1:3" x14ac:dyDescent="0.25">
      <c r="A110" t="s">
        <v>101</v>
      </c>
      <c r="B110" t="s">
        <v>301</v>
      </c>
      <c r="C110" t="s">
        <v>283</v>
      </c>
    </row>
    <row r="111" spans="1:3" x14ac:dyDescent="0.25">
      <c r="A111" t="s">
        <v>102</v>
      </c>
      <c r="B111" t="s">
        <v>299</v>
      </c>
      <c r="C111" t="s">
        <v>282</v>
      </c>
    </row>
    <row r="112" spans="1:3" x14ac:dyDescent="0.25">
      <c r="A112" t="s">
        <v>103</v>
      </c>
      <c r="B112" t="s">
        <v>279</v>
      </c>
      <c r="C112" t="s">
        <v>295</v>
      </c>
    </row>
    <row r="113" spans="1:3" x14ac:dyDescent="0.25">
      <c r="A113" t="s">
        <v>104</v>
      </c>
      <c r="B113" t="s">
        <v>279</v>
      </c>
      <c r="C113" t="s">
        <v>285</v>
      </c>
    </row>
    <row r="114" spans="1:3" x14ac:dyDescent="0.25">
      <c r="A114" t="s">
        <v>105</v>
      </c>
      <c r="B114" t="s">
        <v>299</v>
      </c>
      <c r="C114" t="s">
        <v>295</v>
      </c>
    </row>
    <row r="115" spans="1:3" x14ac:dyDescent="0.25">
      <c r="A115" t="s">
        <v>106</v>
      </c>
      <c r="B115" t="s">
        <v>299</v>
      </c>
      <c r="C115" t="s">
        <v>295</v>
      </c>
    </row>
    <row r="116" spans="1:3" x14ac:dyDescent="0.25">
      <c r="A116" t="s">
        <v>107</v>
      </c>
      <c r="B116" t="s">
        <v>299</v>
      </c>
      <c r="C116" t="s">
        <v>284</v>
      </c>
    </row>
    <row r="117" spans="1:3" x14ac:dyDescent="0.25">
      <c r="A117" t="s">
        <v>108</v>
      </c>
      <c r="B117" t="s">
        <v>279</v>
      </c>
      <c r="C117" t="s">
        <v>285</v>
      </c>
    </row>
    <row r="118" spans="1:3" x14ac:dyDescent="0.25">
      <c r="A118" t="s">
        <v>109</v>
      </c>
      <c r="B118" t="s">
        <v>301</v>
      </c>
      <c r="C118" t="s">
        <v>281</v>
      </c>
    </row>
    <row r="119" spans="1:3" x14ac:dyDescent="0.25">
      <c r="A119" t="s">
        <v>110</v>
      </c>
      <c r="B119" t="s">
        <v>301</v>
      </c>
      <c r="C119" t="s">
        <v>295</v>
      </c>
    </row>
    <row r="120" spans="1:3" x14ac:dyDescent="0.25">
      <c r="A120" t="s">
        <v>111</v>
      </c>
      <c r="B120" t="s">
        <v>299</v>
      </c>
      <c r="C120" t="s">
        <v>285</v>
      </c>
    </row>
    <row r="121" spans="1:3" x14ac:dyDescent="0.25">
      <c r="A121" t="s">
        <v>112</v>
      </c>
      <c r="B121" t="s">
        <v>279</v>
      </c>
      <c r="C121" t="s">
        <v>283</v>
      </c>
    </row>
    <row r="122" spans="1:3" x14ac:dyDescent="0.25">
      <c r="A122" t="s">
        <v>113</v>
      </c>
      <c r="B122" t="s">
        <v>279</v>
      </c>
      <c r="C122" t="s">
        <v>285</v>
      </c>
    </row>
    <row r="123" spans="1:3" x14ac:dyDescent="0.25">
      <c r="A123" t="s">
        <v>114</v>
      </c>
      <c r="B123" t="s">
        <v>300</v>
      </c>
      <c r="C123" t="s">
        <v>282</v>
      </c>
    </row>
    <row r="124" spans="1:3" x14ac:dyDescent="0.25">
      <c r="A124" t="s">
        <v>115</v>
      </c>
      <c r="B124" t="s">
        <v>279</v>
      </c>
      <c r="C124" t="s">
        <v>283</v>
      </c>
    </row>
    <row r="125" spans="1:3" x14ac:dyDescent="0.25">
      <c r="A125" t="s">
        <v>116</v>
      </c>
      <c r="B125" t="s">
        <v>300</v>
      </c>
      <c r="C125" t="s">
        <v>285</v>
      </c>
    </row>
    <row r="126" spans="1:3" x14ac:dyDescent="0.25">
      <c r="A126" t="s">
        <v>117</v>
      </c>
      <c r="B126" t="s">
        <v>279</v>
      </c>
      <c r="C126" t="s">
        <v>280</v>
      </c>
    </row>
    <row r="127" spans="1:3" x14ac:dyDescent="0.25">
      <c r="A127" t="s">
        <v>118</v>
      </c>
      <c r="B127" t="s">
        <v>300</v>
      </c>
      <c r="C127" t="s">
        <v>285</v>
      </c>
    </row>
    <row r="128" spans="1:3" x14ac:dyDescent="0.25">
      <c r="A128" t="s">
        <v>119</v>
      </c>
      <c r="B128" t="s">
        <v>300</v>
      </c>
      <c r="C128" t="s">
        <v>281</v>
      </c>
    </row>
    <row r="129" spans="1:3" x14ac:dyDescent="0.25">
      <c r="A129" t="s">
        <v>120</v>
      </c>
      <c r="B129" t="s">
        <v>279</v>
      </c>
      <c r="C129" t="s">
        <v>285</v>
      </c>
    </row>
    <row r="130" spans="1:3" x14ac:dyDescent="0.25">
      <c r="A130" t="s">
        <v>121</v>
      </c>
      <c r="B130" t="s">
        <v>301</v>
      </c>
      <c r="C130" t="s">
        <v>280</v>
      </c>
    </row>
    <row r="131" spans="1:3" x14ac:dyDescent="0.25">
      <c r="A131" t="s">
        <v>294</v>
      </c>
      <c r="B131" t="s">
        <v>279</v>
      </c>
      <c r="C131" t="s">
        <v>283</v>
      </c>
    </row>
    <row r="132" spans="1:3" x14ac:dyDescent="0.25">
      <c r="A132" t="s">
        <v>122</v>
      </c>
      <c r="B132" t="s">
        <v>301</v>
      </c>
      <c r="C132" t="s">
        <v>280</v>
      </c>
    </row>
    <row r="133" spans="1:3" x14ac:dyDescent="0.25">
      <c r="A133" t="s">
        <v>123</v>
      </c>
      <c r="B133" t="s">
        <v>300</v>
      </c>
      <c r="C133" t="s">
        <v>285</v>
      </c>
    </row>
    <row r="134" spans="1:3" x14ac:dyDescent="0.25">
      <c r="A134" t="s">
        <v>124</v>
      </c>
      <c r="B134" t="s">
        <v>300</v>
      </c>
      <c r="C134" t="s">
        <v>296</v>
      </c>
    </row>
    <row r="135" spans="1:3" x14ac:dyDescent="0.25">
      <c r="A135" t="s">
        <v>125</v>
      </c>
      <c r="B135" t="s">
        <v>279</v>
      </c>
      <c r="C135" t="s">
        <v>282</v>
      </c>
    </row>
    <row r="136" spans="1:3" x14ac:dyDescent="0.25">
      <c r="A136" t="s">
        <v>126</v>
      </c>
      <c r="B136" t="s">
        <v>299</v>
      </c>
      <c r="C136" t="s">
        <v>281</v>
      </c>
    </row>
    <row r="137" spans="1:3" x14ac:dyDescent="0.25">
      <c r="A137" t="s">
        <v>127</v>
      </c>
      <c r="B137" t="s">
        <v>299</v>
      </c>
      <c r="C137" t="s">
        <v>285</v>
      </c>
    </row>
    <row r="138" spans="1:3" x14ac:dyDescent="0.25">
      <c r="A138" t="s">
        <v>128</v>
      </c>
      <c r="B138" t="s">
        <v>279</v>
      </c>
      <c r="C138" t="s">
        <v>283</v>
      </c>
    </row>
    <row r="139" spans="1:3" x14ac:dyDescent="0.25">
      <c r="A139" t="s">
        <v>129</v>
      </c>
      <c r="B139" t="s">
        <v>279</v>
      </c>
      <c r="C139" t="s">
        <v>298</v>
      </c>
    </row>
    <row r="140" spans="1:3" x14ac:dyDescent="0.25">
      <c r="A140" t="s">
        <v>130</v>
      </c>
      <c r="B140" t="s">
        <v>301</v>
      </c>
      <c r="C140" t="s">
        <v>298</v>
      </c>
    </row>
    <row r="141" spans="1:3" x14ac:dyDescent="0.25">
      <c r="A141" t="s">
        <v>131</v>
      </c>
      <c r="B141" t="s">
        <v>301</v>
      </c>
      <c r="C141" t="s">
        <v>284</v>
      </c>
    </row>
    <row r="142" spans="1:3" x14ac:dyDescent="0.25">
      <c r="A142" t="s">
        <v>132</v>
      </c>
      <c r="B142" t="s">
        <v>301</v>
      </c>
      <c r="C142" t="s">
        <v>283</v>
      </c>
    </row>
    <row r="143" spans="1:3" x14ac:dyDescent="0.25">
      <c r="A143" t="s">
        <v>133</v>
      </c>
      <c r="B143" t="s">
        <v>279</v>
      </c>
      <c r="C143" t="s">
        <v>296</v>
      </c>
    </row>
    <row r="144" spans="1:3" x14ac:dyDescent="0.25">
      <c r="A144" t="s">
        <v>134</v>
      </c>
      <c r="B144" t="s">
        <v>299</v>
      </c>
      <c r="C144" t="s">
        <v>295</v>
      </c>
    </row>
    <row r="145" spans="1:3" x14ac:dyDescent="0.25">
      <c r="A145" t="s">
        <v>135</v>
      </c>
      <c r="B145" t="s">
        <v>279</v>
      </c>
      <c r="C145" t="s">
        <v>283</v>
      </c>
    </row>
    <row r="146" spans="1:3" x14ac:dyDescent="0.25">
      <c r="A146" t="s">
        <v>136</v>
      </c>
      <c r="B146" t="s">
        <v>299</v>
      </c>
      <c r="C146" t="s">
        <v>281</v>
      </c>
    </row>
    <row r="147" spans="1:3" x14ac:dyDescent="0.25">
      <c r="A147" t="s">
        <v>137</v>
      </c>
      <c r="B147" t="s">
        <v>301</v>
      </c>
      <c r="C147" t="s">
        <v>280</v>
      </c>
    </row>
    <row r="148" spans="1:3" x14ac:dyDescent="0.25">
      <c r="A148" t="s">
        <v>138</v>
      </c>
      <c r="B148" t="s">
        <v>301</v>
      </c>
      <c r="C148" t="s">
        <v>285</v>
      </c>
    </row>
    <row r="149" spans="1:3" x14ac:dyDescent="0.25">
      <c r="A149" t="s">
        <v>139</v>
      </c>
      <c r="B149" t="s">
        <v>301</v>
      </c>
      <c r="C149" t="s">
        <v>285</v>
      </c>
    </row>
    <row r="150" spans="1:3" x14ac:dyDescent="0.25">
      <c r="A150" t="s">
        <v>140</v>
      </c>
      <c r="B150" t="s">
        <v>279</v>
      </c>
      <c r="C150" t="s">
        <v>295</v>
      </c>
    </row>
    <row r="151" spans="1:3" x14ac:dyDescent="0.25">
      <c r="A151" t="s">
        <v>141</v>
      </c>
      <c r="B151" t="s">
        <v>300</v>
      </c>
      <c r="C151" t="s">
        <v>285</v>
      </c>
    </row>
    <row r="152" spans="1:3" x14ac:dyDescent="0.25">
      <c r="A152" t="s">
        <v>142</v>
      </c>
      <c r="B152" t="s">
        <v>299</v>
      </c>
      <c r="C152" t="s">
        <v>295</v>
      </c>
    </row>
    <row r="153" spans="1:3" x14ac:dyDescent="0.25">
      <c r="A153" t="s">
        <v>143</v>
      </c>
      <c r="B153" t="s">
        <v>300</v>
      </c>
      <c r="C153" t="s">
        <v>283</v>
      </c>
    </row>
    <row r="154" spans="1:3" x14ac:dyDescent="0.25">
      <c r="A154" t="s">
        <v>144</v>
      </c>
      <c r="B154" t="s">
        <v>279</v>
      </c>
      <c r="C154" t="s">
        <v>295</v>
      </c>
    </row>
    <row r="155" spans="1:3" x14ac:dyDescent="0.25">
      <c r="A155" t="s">
        <v>145</v>
      </c>
      <c r="B155" t="s">
        <v>279</v>
      </c>
      <c r="C155" t="s">
        <v>283</v>
      </c>
    </row>
    <row r="156" spans="1:3" x14ac:dyDescent="0.25">
      <c r="A156" t="s">
        <v>146</v>
      </c>
      <c r="B156" t="s">
        <v>279</v>
      </c>
      <c r="C156" t="s">
        <v>285</v>
      </c>
    </row>
    <row r="157" spans="1:3" x14ac:dyDescent="0.25">
      <c r="A157" t="s">
        <v>147</v>
      </c>
      <c r="B157" t="s">
        <v>301</v>
      </c>
      <c r="C157" t="s">
        <v>285</v>
      </c>
    </row>
    <row r="158" spans="1:3" x14ac:dyDescent="0.25">
      <c r="A158" t="s">
        <v>148</v>
      </c>
      <c r="B158" t="s">
        <v>299</v>
      </c>
      <c r="C158" t="s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C010F-4194-44F7-9A84-B83D27F80150}">
  <dimension ref="A1:I158"/>
  <sheetViews>
    <sheetView workbookViewId="0">
      <selection activeCell="B1" sqref="B1:I1048576"/>
    </sheetView>
  </sheetViews>
  <sheetFormatPr defaultRowHeight="15" x14ac:dyDescent="0.25"/>
  <cols>
    <col min="1" max="1" width="30.7109375" bestFit="1" customWidth="1"/>
    <col min="2" max="2" width="10.5703125" bestFit="1" customWidth="1"/>
    <col min="3" max="3" width="9.7109375" bestFit="1" customWidth="1"/>
    <col min="4" max="4" width="12.85546875" bestFit="1" customWidth="1"/>
    <col min="5" max="5" width="10" bestFit="1" customWidth="1"/>
    <col min="6" max="6" width="15" bestFit="1" customWidth="1"/>
    <col min="7" max="7" width="14.28515625" bestFit="1" customWidth="1"/>
    <col min="8" max="8" width="13.85546875" bestFit="1" customWidth="1"/>
    <col min="9" max="9" width="12.140625" bestFit="1" customWidth="1"/>
  </cols>
  <sheetData>
    <row r="1" spans="1:9" x14ac:dyDescent="0.25">
      <c r="A1" t="s">
        <v>157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  <c r="G1" t="s">
        <v>309</v>
      </c>
      <c r="H1" t="s">
        <v>310</v>
      </c>
      <c r="I1" t="s">
        <v>276</v>
      </c>
    </row>
    <row r="2" spans="1:9" x14ac:dyDescent="0.25">
      <c r="A2" t="s">
        <v>1</v>
      </c>
      <c r="B2">
        <v>5.3003529999999998E-3</v>
      </c>
      <c r="C2">
        <v>3.7102472999999997E-2</v>
      </c>
      <c r="D2">
        <v>3.5335689999999999E-3</v>
      </c>
      <c r="E2">
        <v>1.766784E-3</v>
      </c>
      <c r="F2">
        <v>1.2367491E-2</v>
      </c>
      <c r="G2">
        <v>0</v>
      </c>
      <c r="H2">
        <v>1.766784E-3</v>
      </c>
      <c r="I2">
        <v>566</v>
      </c>
    </row>
    <row r="3" spans="1:9" x14ac:dyDescent="0.25">
      <c r="A3" t="s">
        <v>2</v>
      </c>
      <c r="B3">
        <v>9.4722599999999997E-3</v>
      </c>
      <c r="C3">
        <v>4.6008119E-2</v>
      </c>
      <c r="D3">
        <v>1.082544E-2</v>
      </c>
      <c r="E3">
        <v>0</v>
      </c>
      <c r="F3">
        <v>1.2178619999999999E-2</v>
      </c>
      <c r="G3">
        <v>2.7063600000000001E-3</v>
      </c>
      <c r="H3">
        <v>2.7063600000000001E-3</v>
      </c>
      <c r="I3">
        <v>739</v>
      </c>
    </row>
    <row r="4" spans="1:9" x14ac:dyDescent="0.25">
      <c r="A4" t="s">
        <v>3</v>
      </c>
      <c r="B4">
        <v>1.7543860000000001E-2</v>
      </c>
      <c r="C4">
        <v>3.5087719000000003E-2</v>
      </c>
      <c r="D4">
        <v>0</v>
      </c>
      <c r="E4">
        <v>0</v>
      </c>
      <c r="F4">
        <v>8.7719300000000007E-3</v>
      </c>
      <c r="G4">
        <v>0</v>
      </c>
      <c r="H4">
        <v>0</v>
      </c>
      <c r="I4">
        <v>114</v>
      </c>
    </row>
    <row r="5" spans="1:9" x14ac:dyDescent="0.25">
      <c r="A5" t="s">
        <v>4</v>
      </c>
      <c r="B5">
        <v>0</v>
      </c>
      <c r="C5">
        <v>4.4910180000000001E-2</v>
      </c>
      <c r="D5">
        <v>5.9880239999999998E-3</v>
      </c>
      <c r="E5">
        <v>1.4970059999999999E-3</v>
      </c>
      <c r="F5">
        <v>4.4910180000000003E-3</v>
      </c>
      <c r="G5">
        <v>0</v>
      </c>
      <c r="H5">
        <v>0</v>
      </c>
      <c r="I5">
        <v>668</v>
      </c>
    </row>
    <row r="6" spans="1:9" x14ac:dyDescent="0.25">
      <c r="A6" t="s">
        <v>5</v>
      </c>
      <c r="B6">
        <v>6.6964290000000003E-3</v>
      </c>
      <c r="C6">
        <v>5.3571428999999997E-2</v>
      </c>
      <c r="D6">
        <v>8.9285709999999997E-3</v>
      </c>
      <c r="E6">
        <v>2.2321429999999998E-3</v>
      </c>
      <c r="F6">
        <v>2.2321429999999998E-3</v>
      </c>
      <c r="G6">
        <v>2.2321429999999998E-3</v>
      </c>
      <c r="H6">
        <v>4.4642859999999996E-3</v>
      </c>
      <c r="I6">
        <v>448</v>
      </c>
    </row>
    <row r="7" spans="1:9" x14ac:dyDescent="0.25">
      <c r="A7" t="s">
        <v>6</v>
      </c>
      <c r="B7">
        <v>1.8043685E-2</v>
      </c>
      <c r="C7">
        <v>1.9943019999999999E-2</v>
      </c>
      <c r="D7">
        <v>4.7483380000000004E-3</v>
      </c>
      <c r="E7">
        <v>0</v>
      </c>
      <c r="F7">
        <v>9.4966799999999997E-4</v>
      </c>
      <c r="G7">
        <v>1.899335E-3</v>
      </c>
      <c r="H7">
        <v>0</v>
      </c>
      <c r="I7">
        <v>1053</v>
      </c>
    </row>
    <row r="8" spans="1:9" x14ac:dyDescent="0.25">
      <c r="A8" t="s">
        <v>7</v>
      </c>
      <c r="B8">
        <v>1.0486176999999999E-2</v>
      </c>
      <c r="C8">
        <v>2.478551E-2</v>
      </c>
      <c r="D8">
        <v>6.6730219999999998E-3</v>
      </c>
      <c r="E8">
        <v>9.5328899999999996E-4</v>
      </c>
      <c r="F8">
        <v>9.5328899999999996E-4</v>
      </c>
      <c r="G8">
        <v>2.8598669999999999E-3</v>
      </c>
      <c r="H8">
        <v>1.9065779999999999E-3</v>
      </c>
      <c r="I8">
        <v>1049</v>
      </c>
    </row>
    <row r="9" spans="1:9" x14ac:dyDescent="0.25">
      <c r="A9" t="s">
        <v>8</v>
      </c>
      <c r="B9">
        <v>1.8281536000000001E-2</v>
      </c>
      <c r="C9">
        <v>2.7422302999999999E-2</v>
      </c>
      <c r="D9">
        <v>3.6563070000000001E-3</v>
      </c>
      <c r="E9">
        <v>0</v>
      </c>
      <c r="F9">
        <v>1.828154E-3</v>
      </c>
      <c r="G9">
        <v>1.828154E-3</v>
      </c>
      <c r="H9">
        <v>1.828154E-3</v>
      </c>
      <c r="I9">
        <v>547</v>
      </c>
    </row>
    <row r="10" spans="1:9" x14ac:dyDescent="0.25">
      <c r="A10" t="s">
        <v>9</v>
      </c>
      <c r="B10">
        <v>1.3577730000000001E-3</v>
      </c>
      <c r="C10">
        <v>2.7834352E-2</v>
      </c>
      <c r="D10">
        <v>4.0733200000000001E-3</v>
      </c>
      <c r="E10">
        <v>3.3944330000000001E-3</v>
      </c>
      <c r="F10">
        <v>4.7522060000000001E-3</v>
      </c>
      <c r="G10">
        <v>6.7888699999999998E-4</v>
      </c>
      <c r="H10">
        <v>1.3577730000000001E-3</v>
      </c>
      <c r="I10">
        <v>1473</v>
      </c>
    </row>
    <row r="11" spans="1:9" x14ac:dyDescent="0.25">
      <c r="A11" t="s">
        <v>10</v>
      </c>
      <c r="B11">
        <v>1.6701461000000001E-2</v>
      </c>
      <c r="C11">
        <v>2.8183716000000001E-2</v>
      </c>
      <c r="D11">
        <v>4.1753650000000003E-3</v>
      </c>
      <c r="E11">
        <v>4.1753650000000003E-3</v>
      </c>
      <c r="F11">
        <v>1.1482255E-2</v>
      </c>
      <c r="G11">
        <v>1.043841E-3</v>
      </c>
      <c r="H11">
        <v>3.1315240000000001E-3</v>
      </c>
      <c r="I11">
        <v>958</v>
      </c>
    </row>
    <row r="12" spans="1:9" x14ac:dyDescent="0.25">
      <c r="A12" t="s">
        <v>11</v>
      </c>
      <c r="B12">
        <v>8.2236840000000002E-3</v>
      </c>
      <c r="C12">
        <v>2.6315788999999999E-2</v>
      </c>
      <c r="D12">
        <v>1.6447370000000001E-3</v>
      </c>
      <c r="E12">
        <v>0</v>
      </c>
      <c r="F12">
        <v>1.6447370000000001E-3</v>
      </c>
      <c r="G12">
        <v>1.6447370000000001E-3</v>
      </c>
      <c r="H12">
        <v>3.2894740000000001E-3</v>
      </c>
      <c r="I12">
        <v>608</v>
      </c>
    </row>
    <row r="13" spans="1:9" x14ac:dyDescent="0.25">
      <c r="A13" t="s">
        <v>12</v>
      </c>
      <c r="B13">
        <v>6.2370059999999998E-3</v>
      </c>
      <c r="C13">
        <v>4.5738045999999997E-2</v>
      </c>
      <c r="D13">
        <v>6.2370059999999998E-3</v>
      </c>
      <c r="E13">
        <v>0</v>
      </c>
      <c r="F13">
        <v>1.6632016999999999E-2</v>
      </c>
      <c r="G13">
        <v>4.1580039999999999E-3</v>
      </c>
      <c r="H13">
        <v>0</v>
      </c>
      <c r="I13">
        <v>481</v>
      </c>
    </row>
    <row r="14" spans="1:9" x14ac:dyDescent="0.25">
      <c r="A14" t="s">
        <v>158</v>
      </c>
      <c r="B14">
        <v>3.7071360000000002E-3</v>
      </c>
      <c r="C14">
        <v>5.4680259000000002E-2</v>
      </c>
      <c r="D14">
        <v>3.7071360000000002E-3</v>
      </c>
      <c r="E14">
        <v>9.2678400000000005E-4</v>
      </c>
      <c r="F14">
        <v>4.6339199999999997E-3</v>
      </c>
      <c r="G14">
        <v>0</v>
      </c>
      <c r="H14">
        <v>9.2678400000000005E-4</v>
      </c>
      <c r="I14">
        <v>1079</v>
      </c>
    </row>
    <row r="15" spans="1:9" x14ac:dyDescent="0.25">
      <c r="A15" t="s">
        <v>159</v>
      </c>
      <c r="B15">
        <v>6.3291140000000003E-3</v>
      </c>
      <c r="C15">
        <v>1.4959724000000001E-2</v>
      </c>
      <c r="D15">
        <v>2.8768700000000001E-3</v>
      </c>
      <c r="E15">
        <v>1.7261220000000001E-3</v>
      </c>
      <c r="F15">
        <v>5.1783660000000002E-3</v>
      </c>
      <c r="G15">
        <v>1.150748E-3</v>
      </c>
      <c r="H15">
        <v>3.4522440000000001E-3</v>
      </c>
      <c r="I15">
        <v>1738</v>
      </c>
    </row>
    <row r="16" spans="1:9" x14ac:dyDescent="0.25">
      <c r="A16" t="s">
        <v>13</v>
      </c>
      <c r="B16">
        <v>9.3457939999999993E-3</v>
      </c>
      <c r="C16">
        <v>4.0498442000000003E-2</v>
      </c>
      <c r="D16">
        <v>0</v>
      </c>
      <c r="E16">
        <v>0</v>
      </c>
      <c r="F16">
        <v>6.2305299999999997E-3</v>
      </c>
      <c r="G16">
        <v>0</v>
      </c>
      <c r="H16">
        <v>6.2305299999999997E-3</v>
      </c>
      <c r="I16">
        <v>321</v>
      </c>
    </row>
    <row r="17" spans="1:9" x14ac:dyDescent="0.25">
      <c r="A17" t="s">
        <v>160</v>
      </c>
      <c r="B17">
        <v>9.4086020000000003E-3</v>
      </c>
      <c r="C17">
        <v>2.1505376E-2</v>
      </c>
      <c r="D17">
        <v>6.7204300000000003E-3</v>
      </c>
      <c r="E17">
        <v>2.688172E-3</v>
      </c>
      <c r="F17">
        <v>1.0752688E-2</v>
      </c>
      <c r="G17">
        <v>1.344086E-3</v>
      </c>
      <c r="H17">
        <v>0</v>
      </c>
      <c r="I17">
        <v>744</v>
      </c>
    </row>
    <row r="18" spans="1:9" x14ac:dyDescent="0.25">
      <c r="A18" t="s">
        <v>14</v>
      </c>
      <c r="B18">
        <v>3.8412289999999998E-3</v>
      </c>
      <c r="C18">
        <v>4.7375159999999999E-2</v>
      </c>
      <c r="D18">
        <v>1.2804100000000001E-3</v>
      </c>
      <c r="E18">
        <v>0</v>
      </c>
      <c r="F18">
        <v>7.6824579999999996E-3</v>
      </c>
      <c r="G18">
        <v>0</v>
      </c>
      <c r="H18">
        <v>1.2804100000000001E-3</v>
      </c>
      <c r="I18">
        <v>781</v>
      </c>
    </row>
    <row r="19" spans="1:9" x14ac:dyDescent="0.25">
      <c r="A19" t="s">
        <v>15</v>
      </c>
      <c r="B19">
        <v>8.7489060000000007E-3</v>
      </c>
      <c r="C19">
        <v>2.8871391E-2</v>
      </c>
      <c r="D19">
        <v>4.3744530000000004E-3</v>
      </c>
      <c r="E19">
        <v>1.7497809999999999E-3</v>
      </c>
      <c r="F19">
        <v>5.2493440000000004E-3</v>
      </c>
      <c r="G19">
        <v>1.7497809999999999E-3</v>
      </c>
      <c r="H19">
        <v>4.3744530000000004E-3</v>
      </c>
      <c r="I19">
        <v>1143</v>
      </c>
    </row>
    <row r="20" spans="1:9" x14ac:dyDescent="0.25">
      <c r="A20" t="s">
        <v>16</v>
      </c>
      <c r="B20">
        <v>1.4880951999999999E-2</v>
      </c>
      <c r="C20">
        <v>7.7380952000000003E-2</v>
      </c>
      <c r="D20">
        <v>2.9761900000000001E-3</v>
      </c>
      <c r="E20">
        <v>0</v>
      </c>
      <c r="F20">
        <v>5.9523809999999996E-3</v>
      </c>
      <c r="G20">
        <v>0</v>
      </c>
      <c r="H20">
        <v>0</v>
      </c>
      <c r="I20">
        <v>336</v>
      </c>
    </row>
    <row r="21" spans="1:9" x14ac:dyDescent="0.25">
      <c r="A21" t="s">
        <v>161</v>
      </c>
      <c r="B21">
        <v>0</v>
      </c>
      <c r="C21">
        <v>2.5263158000000001E-2</v>
      </c>
      <c r="D21">
        <v>2.105263E-3</v>
      </c>
      <c r="E21">
        <v>0</v>
      </c>
      <c r="F21">
        <v>0</v>
      </c>
      <c r="G21">
        <v>0</v>
      </c>
      <c r="H21">
        <v>2.105263E-3</v>
      </c>
      <c r="I21">
        <v>475</v>
      </c>
    </row>
    <row r="22" spans="1:9" x14ac:dyDescent="0.25">
      <c r="A22" t="s">
        <v>17</v>
      </c>
      <c r="B22">
        <v>6.6921610000000003E-3</v>
      </c>
      <c r="C22">
        <v>2.4856597000000001E-2</v>
      </c>
      <c r="D22">
        <v>3.8240919999999999E-3</v>
      </c>
      <c r="E22">
        <v>0</v>
      </c>
      <c r="F22">
        <v>2.868069E-3</v>
      </c>
      <c r="G22">
        <v>0</v>
      </c>
      <c r="H22">
        <v>4.7801149999999997E-3</v>
      </c>
      <c r="I22">
        <v>1046</v>
      </c>
    </row>
    <row r="23" spans="1:9" x14ac:dyDescent="0.25">
      <c r="A23" t="s">
        <v>18</v>
      </c>
      <c r="B23">
        <v>1.0362694E-2</v>
      </c>
      <c r="C23">
        <v>2.0725389E-2</v>
      </c>
      <c r="D23">
        <v>5.1813470000000002E-3</v>
      </c>
      <c r="E23">
        <v>0</v>
      </c>
      <c r="F23">
        <v>6.4766839999999999E-3</v>
      </c>
      <c r="G23">
        <v>0</v>
      </c>
      <c r="H23">
        <v>0</v>
      </c>
      <c r="I23">
        <v>772</v>
      </c>
    </row>
    <row r="24" spans="1:9" x14ac:dyDescent="0.25">
      <c r="A24" t="s">
        <v>19</v>
      </c>
      <c r="B24">
        <v>7.6530610000000001E-3</v>
      </c>
      <c r="C24">
        <v>2.5510204000000002E-2</v>
      </c>
      <c r="D24">
        <v>7.6530610000000001E-3</v>
      </c>
      <c r="E24">
        <v>5.1020409999999999E-3</v>
      </c>
      <c r="F24">
        <v>2.5510200000000002E-3</v>
      </c>
      <c r="G24">
        <v>0</v>
      </c>
      <c r="H24">
        <v>2.5510200000000002E-3</v>
      </c>
      <c r="I24">
        <v>784</v>
      </c>
    </row>
    <row r="25" spans="1:9" x14ac:dyDescent="0.25">
      <c r="A25" t="s">
        <v>20</v>
      </c>
      <c r="B25">
        <v>1.0849910000000001E-2</v>
      </c>
      <c r="C25">
        <v>3.074141E-2</v>
      </c>
      <c r="D25">
        <v>1.8083179999999999E-3</v>
      </c>
      <c r="E25">
        <v>1.8083179999999999E-3</v>
      </c>
      <c r="F25">
        <v>0</v>
      </c>
      <c r="G25">
        <v>0</v>
      </c>
      <c r="H25">
        <v>1.8083179999999999E-3</v>
      </c>
      <c r="I25">
        <v>553</v>
      </c>
    </row>
    <row r="26" spans="1:9" x14ac:dyDescent="0.25">
      <c r="A26" t="s">
        <v>21</v>
      </c>
      <c r="B26">
        <v>8.8028169999999992E-3</v>
      </c>
      <c r="C26">
        <v>5.4577464999999999E-2</v>
      </c>
      <c r="D26">
        <v>1.2323944E-2</v>
      </c>
      <c r="E26">
        <v>1.7605629999999999E-3</v>
      </c>
      <c r="F26">
        <v>1.7605629999999999E-3</v>
      </c>
      <c r="G26">
        <v>1.7605629999999999E-3</v>
      </c>
      <c r="H26">
        <v>1.7605629999999999E-3</v>
      </c>
      <c r="I26">
        <v>568</v>
      </c>
    </row>
    <row r="27" spans="1:9" x14ac:dyDescent="0.25">
      <c r="A27" t="s">
        <v>22</v>
      </c>
      <c r="B27">
        <v>5.6818179999999999E-3</v>
      </c>
      <c r="C27">
        <v>2.2727272999999999E-2</v>
      </c>
      <c r="D27">
        <v>5.6818179999999999E-3</v>
      </c>
      <c r="E27">
        <v>0</v>
      </c>
      <c r="F27">
        <v>2.840909E-3</v>
      </c>
      <c r="G27">
        <v>0</v>
      </c>
      <c r="H27">
        <v>0</v>
      </c>
      <c r="I27">
        <v>352</v>
      </c>
    </row>
    <row r="28" spans="1:9" x14ac:dyDescent="0.25">
      <c r="A28" t="s">
        <v>23</v>
      </c>
      <c r="B28">
        <v>1.9960080000000001E-3</v>
      </c>
      <c r="C28">
        <v>5.1896207999999999E-2</v>
      </c>
      <c r="D28">
        <v>7.9840320000000003E-3</v>
      </c>
      <c r="E28">
        <v>0</v>
      </c>
      <c r="F28">
        <v>1.1976048E-2</v>
      </c>
      <c r="G28">
        <v>5.9880239999999998E-3</v>
      </c>
      <c r="H28">
        <v>0</v>
      </c>
      <c r="I28">
        <v>501</v>
      </c>
    </row>
    <row r="29" spans="1:9" x14ac:dyDescent="0.25">
      <c r="A29" t="s">
        <v>24</v>
      </c>
      <c r="B29">
        <v>4.0302267000000003E-2</v>
      </c>
      <c r="C29">
        <v>2.7707809E-2</v>
      </c>
      <c r="D29">
        <v>7.5566749999999997E-3</v>
      </c>
      <c r="E29">
        <v>0</v>
      </c>
      <c r="F29">
        <v>1.0075567000000001E-2</v>
      </c>
      <c r="G29">
        <v>0</v>
      </c>
      <c r="H29">
        <v>2.518892E-3</v>
      </c>
      <c r="I29">
        <v>397</v>
      </c>
    </row>
    <row r="30" spans="1:9" x14ac:dyDescent="0.25">
      <c r="A30" t="s">
        <v>25</v>
      </c>
      <c r="B30">
        <v>1.908397E-3</v>
      </c>
      <c r="C30">
        <v>4.7709924000000001E-2</v>
      </c>
      <c r="D30">
        <v>1.3358778999999999E-2</v>
      </c>
      <c r="E30">
        <v>3.8167940000000001E-3</v>
      </c>
      <c r="F30">
        <v>5.7251910000000001E-3</v>
      </c>
      <c r="G30">
        <v>7.6335880000000002E-3</v>
      </c>
      <c r="H30">
        <v>3.8167940000000001E-3</v>
      </c>
      <c r="I30">
        <v>524</v>
      </c>
    </row>
    <row r="31" spans="1:9" x14ac:dyDescent="0.25">
      <c r="A31" t="s">
        <v>26</v>
      </c>
      <c r="B31">
        <v>2.1645022E-2</v>
      </c>
      <c r="C31">
        <v>4.3290043E-2</v>
      </c>
      <c r="D31">
        <v>0</v>
      </c>
      <c r="E31">
        <v>0</v>
      </c>
      <c r="F31">
        <v>0</v>
      </c>
      <c r="G31">
        <v>0</v>
      </c>
      <c r="H31">
        <v>0</v>
      </c>
      <c r="I31">
        <v>231</v>
      </c>
    </row>
    <row r="32" spans="1:9" x14ac:dyDescent="0.25">
      <c r="A32" t="s">
        <v>27</v>
      </c>
      <c r="B32">
        <v>7.2289160000000002E-3</v>
      </c>
      <c r="C32">
        <v>2.8915663000000001E-2</v>
      </c>
      <c r="D32">
        <v>0</v>
      </c>
      <c r="E32">
        <v>2.4096389999999999E-3</v>
      </c>
      <c r="F32">
        <v>4.8192770000000003E-3</v>
      </c>
      <c r="G32">
        <v>0</v>
      </c>
      <c r="H32">
        <v>2.4096389999999999E-3</v>
      </c>
      <c r="I32">
        <v>415</v>
      </c>
    </row>
    <row r="33" spans="1:9" x14ac:dyDescent="0.25">
      <c r="A33" t="s">
        <v>28</v>
      </c>
      <c r="B33">
        <v>1.0355029999999999E-2</v>
      </c>
      <c r="C33">
        <v>4.5857988000000002E-2</v>
      </c>
      <c r="D33">
        <v>1.4792900000000001E-3</v>
      </c>
      <c r="E33">
        <v>1.4792900000000001E-3</v>
      </c>
      <c r="F33">
        <v>8.87574E-3</v>
      </c>
      <c r="G33">
        <v>1.4792900000000001E-3</v>
      </c>
      <c r="H33">
        <v>0</v>
      </c>
      <c r="I33">
        <v>676</v>
      </c>
    </row>
    <row r="34" spans="1:9" x14ac:dyDescent="0.25">
      <c r="A34" t="s">
        <v>162</v>
      </c>
      <c r="B34">
        <v>2.2916667000000002E-2</v>
      </c>
      <c r="C34">
        <v>2.7083333000000001E-2</v>
      </c>
      <c r="D34">
        <v>2.0833332999999999E-2</v>
      </c>
      <c r="E34">
        <v>2.0833330000000001E-3</v>
      </c>
      <c r="F34">
        <v>1.0416666999999999E-2</v>
      </c>
      <c r="G34">
        <v>4.1666669999999998E-3</v>
      </c>
      <c r="H34">
        <v>0</v>
      </c>
      <c r="I34">
        <v>480</v>
      </c>
    </row>
    <row r="35" spans="1:9" x14ac:dyDescent="0.25">
      <c r="A35" t="s">
        <v>29</v>
      </c>
      <c r="B35">
        <v>6.5789469999999999E-3</v>
      </c>
      <c r="C35">
        <v>2.3496241000000001E-2</v>
      </c>
      <c r="D35">
        <v>3.7593980000000002E-3</v>
      </c>
      <c r="E35">
        <v>9.3985E-4</v>
      </c>
      <c r="F35">
        <v>2.8195490000000002E-3</v>
      </c>
      <c r="G35">
        <v>0</v>
      </c>
      <c r="H35">
        <v>2.8195490000000002E-3</v>
      </c>
      <c r="I35">
        <v>1064</v>
      </c>
    </row>
    <row r="36" spans="1:9" x14ac:dyDescent="0.25">
      <c r="A36" t="s">
        <v>30</v>
      </c>
      <c r="B36">
        <v>1.233046E-3</v>
      </c>
      <c r="C36">
        <v>1.972873E-2</v>
      </c>
      <c r="D36">
        <v>9.8643649999999999E-3</v>
      </c>
      <c r="E36">
        <v>0</v>
      </c>
      <c r="F36">
        <v>6.165228E-3</v>
      </c>
      <c r="G36">
        <v>4.9321820000000002E-3</v>
      </c>
      <c r="H36">
        <v>3.6991369999999999E-3</v>
      </c>
      <c r="I36">
        <v>811</v>
      </c>
    </row>
    <row r="37" spans="1:9" x14ac:dyDescent="0.25">
      <c r="A37" t="s">
        <v>31</v>
      </c>
      <c r="B37">
        <v>1.6016016000000001E-2</v>
      </c>
      <c r="C37">
        <v>5.6056056E-2</v>
      </c>
      <c r="D37">
        <v>6.0060060000000004E-3</v>
      </c>
      <c r="E37">
        <v>4.0040040000000002E-3</v>
      </c>
      <c r="F37">
        <v>5.0050049999999999E-3</v>
      </c>
      <c r="G37">
        <v>1.0010010000000001E-3</v>
      </c>
      <c r="H37">
        <v>4.0040040000000002E-3</v>
      </c>
      <c r="I37">
        <v>999</v>
      </c>
    </row>
    <row r="38" spans="1:9" x14ac:dyDescent="0.25">
      <c r="A38" t="s">
        <v>32</v>
      </c>
      <c r="B38">
        <v>7.6335880000000002E-3</v>
      </c>
      <c r="C38">
        <v>3.9694656000000002E-2</v>
      </c>
      <c r="D38">
        <v>3.0534350000000002E-3</v>
      </c>
      <c r="E38">
        <v>0</v>
      </c>
      <c r="F38">
        <v>7.6335880000000002E-3</v>
      </c>
      <c r="G38">
        <v>3.0534350000000002E-3</v>
      </c>
      <c r="H38">
        <v>3.0534350000000002E-3</v>
      </c>
      <c r="I38">
        <v>655</v>
      </c>
    </row>
    <row r="39" spans="1:9" x14ac:dyDescent="0.25">
      <c r="A39" t="s">
        <v>33</v>
      </c>
      <c r="B39">
        <v>1.0590014999999999E-2</v>
      </c>
      <c r="C39">
        <v>1.5128592999999999E-2</v>
      </c>
      <c r="D39">
        <v>3.0257190000000001E-3</v>
      </c>
      <c r="E39">
        <v>0</v>
      </c>
      <c r="F39">
        <v>2.2692889999999999E-3</v>
      </c>
      <c r="G39">
        <v>7.5642999999999999E-4</v>
      </c>
      <c r="H39">
        <v>3.0257190000000001E-3</v>
      </c>
      <c r="I39">
        <v>1322</v>
      </c>
    </row>
    <row r="40" spans="1:9" x14ac:dyDescent="0.25">
      <c r="A40" t="s">
        <v>163</v>
      </c>
      <c r="B40">
        <v>8.6011769999999998E-3</v>
      </c>
      <c r="C40">
        <v>4.1195111E-2</v>
      </c>
      <c r="D40">
        <v>4.0742419999999996E-3</v>
      </c>
      <c r="E40">
        <v>1.3580809999999999E-3</v>
      </c>
      <c r="F40">
        <v>1.0864644999999999E-2</v>
      </c>
      <c r="G40">
        <v>1.810774E-3</v>
      </c>
      <c r="H40">
        <v>2.2634679999999998E-3</v>
      </c>
      <c r="I40">
        <v>2209</v>
      </c>
    </row>
    <row r="41" spans="1:9" x14ac:dyDescent="0.25">
      <c r="A41" t="s">
        <v>34</v>
      </c>
      <c r="B41">
        <v>1.7000000000000001E-2</v>
      </c>
      <c r="C41">
        <v>3.2000000000000001E-2</v>
      </c>
      <c r="D41">
        <v>5.0000000000000001E-3</v>
      </c>
      <c r="E41">
        <v>0</v>
      </c>
      <c r="F41">
        <v>5.0000000000000001E-3</v>
      </c>
      <c r="G41">
        <v>3.0000000000000001E-3</v>
      </c>
      <c r="H41">
        <v>1E-3</v>
      </c>
      <c r="I41">
        <v>1000</v>
      </c>
    </row>
    <row r="42" spans="1:9" x14ac:dyDescent="0.25">
      <c r="A42" t="s">
        <v>35</v>
      </c>
      <c r="B42">
        <v>1.4604811000000001E-2</v>
      </c>
      <c r="C42">
        <v>2.7491409000000001E-2</v>
      </c>
      <c r="D42">
        <v>1.0309278E-2</v>
      </c>
      <c r="E42">
        <v>1.7182129999999999E-3</v>
      </c>
      <c r="F42">
        <v>8.5910650000000002E-3</v>
      </c>
      <c r="G42">
        <v>4.2955329999999998E-3</v>
      </c>
      <c r="H42">
        <v>5.1546389999999999E-3</v>
      </c>
      <c r="I42">
        <v>1164</v>
      </c>
    </row>
    <row r="43" spans="1:9" x14ac:dyDescent="0.25">
      <c r="A43" t="s">
        <v>36</v>
      </c>
      <c r="B43">
        <v>7.5062549999999999E-3</v>
      </c>
      <c r="C43">
        <v>3.1693078E-2</v>
      </c>
      <c r="D43">
        <v>1.0842368999999999E-2</v>
      </c>
      <c r="E43">
        <v>8.34028E-4</v>
      </c>
      <c r="F43">
        <v>5.8381980000000002E-3</v>
      </c>
      <c r="G43">
        <v>3.3361129999999999E-3</v>
      </c>
      <c r="H43">
        <v>2.5020849999999998E-3</v>
      </c>
      <c r="I43">
        <v>1199</v>
      </c>
    </row>
    <row r="44" spans="1:9" x14ac:dyDescent="0.25">
      <c r="A44" t="s">
        <v>37</v>
      </c>
      <c r="B44">
        <v>1.9762849999999999E-3</v>
      </c>
      <c r="C44">
        <v>3.1620553000000003E-2</v>
      </c>
      <c r="D44">
        <v>3.9525690000000004E-3</v>
      </c>
      <c r="E44">
        <v>1.9762849999999999E-3</v>
      </c>
      <c r="F44">
        <v>1.1857708E-2</v>
      </c>
      <c r="G44">
        <v>1.9762849999999999E-3</v>
      </c>
      <c r="H44">
        <v>3.9525690000000004E-3</v>
      </c>
      <c r="I44">
        <v>506</v>
      </c>
    </row>
    <row r="45" spans="1:9" x14ac:dyDescent="0.25">
      <c r="A45" t="s">
        <v>38</v>
      </c>
      <c r="B45">
        <v>7.352941E-3</v>
      </c>
      <c r="C45">
        <v>3.5294117999999999E-2</v>
      </c>
      <c r="D45">
        <v>4.4117649999999998E-3</v>
      </c>
      <c r="E45">
        <v>7.352941E-3</v>
      </c>
      <c r="F45">
        <v>1.4705880000000001E-3</v>
      </c>
      <c r="G45">
        <v>0</v>
      </c>
      <c r="H45">
        <v>4.4117649999999998E-3</v>
      </c>
      <c r="I45">
        <v>680</v>
      </c>
    </row>
    <row r="46" spans="1:9" x14ac:dyDescent="0.25">
      <c r="A46" t="s">
        <v>39</v>
      </c>
      <c r="B46">
        <v>6.9848660000000002E-3</v>
      </c>
      <c r="C46">
        <v>2.9103608999999999E-2</v>
      </c>
      <c r="D46">
        <v>2.3282889999999999E-3</v>
      </c>
      <c r="E46">
        <v>2.3282889999999999E-3</v>
      </c>
      <c r="F46">
        <v>2.3282889999999999E-3</v>
      </c>
      <c r="G46">
        <v>0</v>
      </c>
      <c r="H46">
        <v>4.6565770000000003E-3</v>
      </c>
      <c r="I46">
        <v>859</v>
      </c>
    </row>
    <row r="47" spans="1:9" x14ac:dyDescent="0.25">
      <c r="A47" t="s">
        <v>40</v>
      </c>
      <c r="B47">
        <v>1.0165184000000001E-2</v>
      </c>
      <c r="C47">
        <v>2.6683609E-2</v>
      </c>
      <c r="D47">
        <v>1.0165184000000001E-2</v>
      </c>
      <c r="E47">
        <v>1.2706480000000001E-3</v>
      </c>
      <c r="F47">
        <v>3.8119439999999998E-3</v>
      </c>
      <c r="G47">
        <v>6.3532399999999996E-3</v>
      </c>
      <c r="H47">
        <v>0</v>
      </c>
      <c r="I47">
        <v>787</v>
      </c>
    </row>
    <row r="48" spans="1:9" x14ac:dyDescent="0.25">
      <c r="A48" t="s">
        <v>41</v>
      </c>
      <c r="B48">
        <v>1.0638297999999999E-2</v>
      </c>
      <c r="C48">
        <v>3.6170213E-2</v>
      </c>
      <c r="D48">
        <v>1.2765957E-2</v>
      </c>
      <c r="E48">
        <v>0</v>
      </c>
      <c r="F48">
        <v>2.12766E-3</v>
      </c>
      <c r="G48">
        <v>2.12766E-3</v>
      </c>
      <c r="H48">
        <v>2.12766E-3</v>
      </c>
      <c r="I48">
        <v>470</v>
      </c>
    </row>
    <row r="49" spans="1:9" x14ac:dyDescent="0.25">
      <c r="A49" t="s">
        <v>42</v>
      </c>
      <c r="B49">
        <v>1.6051363999999999E-2</v>
      </c>
      <c r="C49">
        <v>1.9261637000000002E-2</v>
      </c>
      <c r="D49">
        <v>3.210273E-3</v>
      </c>
      <c r="E49">
        <v>1.1235955000000001E-2</v>
      </c>
      <c r="F49">
        <v>4.8154089999999997E-3</v>
      </c>
      <c r="G49">
        <v>1.6051360000000001E-3</v>
      </c>
      <c r="H49">
        <v>1.6051360000000001E-3</v>
      </c>
      <c r="I49">
        <v>623</v>
      </c>
    </row>
    <row r="50" spans="1:9" x14ac:dyDescent="0.25">
      <c r="A50" t="s">
        <v>43</v>
      </c>
      <c r="B50">
        <v>6.7314879999999999E-3</v>
      </c>
      <c r="C50">
        <v>2.1690352E-2</v>
      </c>
      <c r="D50">
        <v>6.7314879999999999E-3</v>
      </c>
      <c r="E50">
        <v>0</v>
      </c>
      <c r="F50">
        <v>0</v>
      </c>
      <c r="G50">
        <v>7.4794300000000005E-4</v>
      </c>
      <c r="H50">
        <v>1.4958860000000001E-3</v>
      </c>
      <c r="I50">
        <v>1337</v>
      </c>
    </row>
    <row r="51" spans="1:9" x14ac:dyDescent="0.25">
      <c r="A51" t="s">
        <v>44</v>
      </c>
      <c r="B51">
        <v>8.9153050000000001E-3</v>
      </c>
      <c r="C51">
        <v>5.6463595999999998E-2</v>
      </c>
      <c r="D51">
        <v>2.9717680000000001E-3</v>
      </c>
      <c r="E51">
        <v>0</v>
      </c>
      <c r="F51">
        <v>1.485884E-3</v>
      </c>
      <c r="G51">
        <v>0</v>
      </c>
      <c r="H51">
        <v>1.485884E-3</v>
      </c>
      <c r="I51">
        <v>673</v>
      </c>
    </row>
    <row r="52" spans="1:9" x14ac:dyDescent="0.25">
      <c r="A52" t="s">
        <v>45</v>
      </c>
      <c r="B52">
        <v>2.3255814E-2</v>
      </c>
      <c r="C52">
        <v>2.9069767E-2</v>
      </c>
      <c r="D52">
        <v>9.6899220000000001E-3</v>
      </c>
      <c r="E52">
        <v>1.937984E-3</v>
      </c>
      <c r="F52">
        <v>3.8759689999999999E-3</v>
      </c>
      <c r="G52">
        <v>1.937984E-3</v>
      </c>
      <c r="H52">
        <v>0</v>
      </c>
      <c r="I52">
        <v>516</v>
      </c>
    </row>
    <row r="53" spans="1:9" x14ac:dyDescent="0.25">
      <c r="A53" t="s">
        <v>46</v>
      </c>
      <c r="B53">
        <v>1.6666667E-2</v>
      </c>
      <c r="C53">
        <v>3.4523810000000002E-2</v>
      </c>
      <c r="D53">
        <v>3.5714290000000001E-3</v>
      </c>
      <c r="E53">
        <v>5.9523809999999996E-3</v>
      </c>
      <c r="F53">
        <v>7.1428569999999999E-3</v>
      </c>
      <c r="G53">
        <v>2.380952E-3</v>
      </c>
      <c r="H53">
        <v>2.380952E-3</v>
      </c>
      <c r="I53">
        <v>840</v>
      </c>
    </row>
    <row r="54" spans="1:9" x14ac:dyDescent="0.25">
      <c r="A54" t="s">
        <v>47</v>
      </c>
      <c r="B54">
        <v>8.7847729999999992E-3</v>
      </c>
      <c r="C54">
        <v>4.0995608000000003E-2</v>
      </c>
      <c r="D54">
        <v>4.3923870000000002E-3</v>
      </c>
      <c r="E54">
        <v>0</v>
      </c>
      <c r="F54">
        <v>2.928258E-3</v>
      </c>
      <c r="G54">
        <v>2.928258E-3</v>
      </c>
      <c r="H54">
        <v>0</v>
      </c>
      <c r="I54">
        <v>683</v>
      </c>
    </row>
    <row r="55" spans="1:9" x14ac:dyDescent="0.25">
      <c r="A55" t="s">
        <v>48</v>
      </c>
      <c r="B55">
        <v>2.48139E-3</v>
      </c>
      <c r="C55">
        <v>3.2258065000000002E-2</v>
      </c>
      <c r="D55">
        <v>2.48139E-3</v>
      </c>
      <c r="E55">
        <v>0</v>
      </c>
      <c r="F55">
        <v>9.9255579999999993E-3</v>
      </c>
      <c r="G55">
        <v>0</v>
      </c>
      <c r="H55">
        <v>0</v>
      </c>
      <c r="I55">
        <v>403</v>
      </c>
    </row>
    <row r="56" spans="1:9" x14ac:dyDescent="0.25">
      <c r="A56" t="s">
        <v>49</v>
      </c>
      <c r="B56">
        <v>2.7397260000000001E-3</v>
      </c>
      <c r="C56">
        <v>3.8356163999999998E-2</v>
      </c>
      <c r="D56">
        <v>4.1095890000000003E-3</v>
      </c>
      <c r="E56">
        <v>0</v>
      </c>
      <c r="F56">
        <v>5.4794520000000001E-3</v>
      </c>
      <c r="G56">
        <v>2.7397260000000001E-3</v>
      </c>
      <c r="H56">
        <v>0</v>
      </c>
      <c r="I56">
        <v>730</v>
      </c>
    </row>
    <row r="57" spans="1:9" x14ac:dyDescent="0.25">
      <c r="A57" t="s">
        <v>50</v>
      </c>
      <c r="B57">
        <v>6.1274509999999999E-3</v>
      </c>
      <c r="C57">
        <v>4.0441176000000002E-2</v>
      </c>
      <c r="D57">
        <v>0</v>
      </c>
      <c r="E57">
        <v>1.2254900000000001E-3</v>
      </c>
      <c r="F57">
        <v>8.5784309999999992E-3</v>
      </c>
      <c r="G57">
        <v>0</v>
      </c>
      <c r="H57">
        <v>7.352941E-3</v>
      </c>
      <c r="I57">
        <v>816</v>
      </c>
    </row>
    <row r="58" spans="1:9" x14ac:dyDescent="0.25">
      <c r="A58" t="s">
        <v>51</v>
      </c>
      <c r="B58">
        <v>1.7543860000000001E-2</v>
      </c>
      <c r="C58">
        <v>2.8508772000000002E-2</v>
      </c>
      <c r="D58">
        <v>2.192982E-3</v>
      </c>
      <c r="E58">
        <v>0</v>
      </c>
      <c r="F58">
        <v>8.7719300000000007E-3</v>
      </c>
      <c r="G58">
        <v>0</v>
      </c>
      <c r="H58">
        <v>2.192982E-3</v>
      </c>
      <c r="I58">
        <v>456</v>
      </c>
    </row>
    <row r="59" spans="1:9" x14ac:dyDescent="0.25">
      <c r="A59" t="s">
        <v>52</v>
      </c>
      <c r="B59">
        <v>3.8759689999999999E-3</v>
      </c>
      <c r="C59">
        <v>5.2325581000000003E-2</v>
      </c>
      <c r="D59">
        <v>7.7519379999999999E-3</v>
      </c>
      <c r="E59">
        <v>0</v>
      </c>
      <c r="F59">
        <v>1.937984E-3</v>
      </c>
      <c r="G59">
        <v>1.937984E-3</v>
      </c>
      <c r="H59">
        <v>1.937984E-3</v>
      </c>
      <c r="I59">
        <v>516</v>
      </c>
    </row>
    <row r="60" spans="1:9" x14ac:dyDescent="0.25">
      <c r="A60" t="s">
        <v>53</v>
      </c>
      <c r="B60">
        <v>9.1575089999999994E-3</v>
      </c>
      <c r="C60">
        <v>4.7619047999999997E-2</v>
      </c>
      <c r="D60">
        <v>1.2820513E-2</v>
      </c>
      <c r="E60">
        <v>0</v>
      </c>
      <c r="F60">
        <v>3.6630040000000001E-3</v>
      </c>
      <c r="G60">
        <v>1.831502E-3</v>
      </c>
      <c r="H60">
        <v>5.4945050000000002E-3</v>
      </c>
      <c r="I60">
        <v>546</v>
      </c>
    </row>
    <row r="61" spans="1:9" x14ac:dyDescent="0.25">
      <c r="A61" t="s">
        <v>54</v>
      </c>
      <c r="B61">
        <v>1.8828451999999999E-2</v>
      </c>
      <c r="C61">
        <v>3.1380752999999997E-2</v>
      </c>
      <c r="D61">
        <v>4.1840999999999996E-3</v>
      </c>
      <c r="E61">
        <v>0</v>
      </c>
      <c r="F61">
        <v>4.1840999999999996E-3</v>
      </c>
      <c r="G61">
        <v>4.1840999999999996E-3</v>
      </c>
      <c r="H61">
        <v>2.0920499999999998E-3</v>
      </c>
      <c r="I61">
        <v>478</v>
      </c>
    </row>
    <row r="62" spans="1:9" x14ac:dyDescent="0.25">
      <c r="A62" t="s">
        <v>55</v>
      </c>
      <c r="B62">
        <v>2.873563E-3</v>
      </c>
      <c r="C62">
        <v>4.8850575E-2</v>
      </c>
      <c r="D62">
        <v>0</v>
      </c>
      <c r="E62">
        <v>0</v>
      </c>
      <c r="F62">
        <v>4.3103450000000001E-3</v>
      </c>
      <c r="G62">
        <v>0</v>
      </c>
      <c r="H62">
        <v>4.3103450000000001E-3</v>
      </c>
      <c r="I62">
        <v>696</v>
      </c>
    </row>
    <row r="63" spans="1:9" x14ac:dyDescent="0.25">
      <c r="A63" t="s">
        <v>56</v>
      </c>
      <c r="B63">
        <v>1.9704433E-2</v>
      </c>
      <c r="C63">
        <v>2.955665E-2</v>
      </c>
      <c r="D63">
        <v>4.9261080000000002E-3</v>
      </c>
      <c r="E63">
        <v>0</v>
      </c>
      <c r="F63">
        <v>4.9261080000000002E-3</v>
      </c>
      <c r="G63">
        <v>0</v>
      </c>
      <c r="H63">
        <v>1.6420359999999999E-3</v>
      </c>
      <c r="I63">
        <v>609</v>
      </c>
    </row>
    <row r="64" spans="1:9" x14ac:dyDescent="0.25">
      <c r="A64" t="s">
        <v>57</v>
      </c>
      <c r="B64">
        <v>0</v>
      </c>
      <c r="C64">
        <v>4.4117647000000003E-2</v>
      </c>
      <c r="D64">
        <v>0</v>
      </c>
      <c r="E64">
        <v>0</v>
      </c>
      <c r="F64">
        <v>1.1764706E-2</v>
      </c>
      <c r="G64">
        <v>0</v>
      </c>
      <c r="H64">
        <v>2.9411760000000002E-3</v>
      </c>
      <c r="I64">
        <v>340</v>
      </c>
    </row>
    <row r="65" spans="1:9" x14ac:dyDescent="0.25">
      <c r="A65" t="s">
        <v>58</v>
      </c>
      <c r="B65">
        <v>1.4201182999999999E-2</v>
      </c>
      <c r="C65">
        <v>4.7337278000000003E-2</v>
      </c>
      <c r="D65">
        <v>8.2840239999999992E-3</v>
      </c>
      <c r="E65">
        <v>0</v>
      </c>
      <c r="F65">
        <v>9.4674560000000008E-3</v>
      </c>
      <c r="G65">
        <v>1.1834320000000001E-3</v>
      </c>
      <c r="H65">
        <v>0</v>
      </c>
      <c r="I65">
        <v>845</v>
      </c>
    </row>
    <row r="66" spans="1:9" x14ac:dyDescent="0.25">
      <c r="A66" t="s">
        <v>59</v>
      </c>
      <c r="B66">
        <v>9.7309670000000001E-3</v>
      </c>
      <c r="C66">
        <v>4.6937606999999999E-2</v>
      </c>
      <c r="D66">
        <v>3.4344589999999999E-3</v>
      </c>
      <c r="E66">
        <v>0</v>
      </c>
      <c r="F66">
        <v>6.2965080000000001E-3</v>
      </c>
      <c r="G66">
        <v>1.7172299999999999E-3</v>
      </c>
      <c r="H66">
        <v>1.14482E-3</v>
      </c>
      <c r="I66">
        <v>1747</v>
      </c>
    </row>
    <row r="67" spans="1:9" x14ac:dyDescent="0.25">
      <c r="A67" t="s">
        <v>60</v>
      </c>
      <c r="B67">
        <v>2.2900763000000001E-2</v>
      </c>
      <c r="C67">
        <v>3.4351145E-2</v>
      </c>
      <c r="D67">
        <v>1.908397E-3</v>
      </c>
      <c r="E67">
        <v>1.908397E-3</v>
      </c>
      <c r="F67">
        <v>9.5419849999999994E-3</v>
      </c>
      <c r="G67">
        <v>1.908397E-3</v>
      </c>
      <c r="H67">
        <v>0</v>
      </c>
      <c r="I67">
        <v>524</v>
      </c>
    </row>
    <row r="68" spans="1:9" x14ac:dyDescent="0.25">
      <c r="A68" t="s">
        <v>61</v>
      </c>
      <c r="B68">
        <v>2.331002E-3</v>
      </c>
      <c r="C68">
        <v>3.1468531000000001E-2</v>
      </c>
      <c r="D68">
        <v>4.6620050000000003E-3</v>
      </c>
      <c r="E68">
        <v>0</v>
      </c>
      <c r="F68">
        <v>5.8275059999999997E-3</v>
      </c>
      <c r="G68">
        <v>2.331002E-3</v>
      </c>
      <c r="H68">
        <v>0</v>
      </c>
      <c r="I68">
        <v>858</v>
      </c>
    </row>
    <row r="69" spans="1:9" x14ac:dyDescent="0.25">
      <c r="A69" t="s">
        <v>62</v>
      </c>
      <c r="B69">
        <v>1.1764709999999999E-3</v>
      </c>
      <c r="C69">
        <v>2.2352941000000001E-2</v>
      </c>
      <c r="D69">
        <v>3.529412E-3</v>
      </c>
      <c r="E69">
        <v>0</v>
      </c>
      <c r="F69">
        <v>5.8823529999999999E-3</v>
      </c>
      <c r="G69">
        <v>2.3529409999999999E-3</v>
      </c>
      <c r="H69">
        <v>7.058824E-3</v>
      </c>
      <c r="I69">
        <v>850</v>
      </c>
    </row>
    <row r="70" spans="1:9" x14ac:dyDescent="0.25">
      <c r="A70" t="s">
        <v>63</v>
      </c>
      <c r="B70">
        <v>8.6206900000000003E-3</v>
      </c>
      <c r="C70">
        <v>3.3045976999999997E-2</v>
      </c>
      <c r="D70">
        <v>4.3103450000000001E-3</v>
      </c>
      <c r="E70">
        <v>2.873563E-3</v>
      </c>
      <c r="F70">
        <v>7.1839080000000001E-3</v>
      </c>
      <c r="G70">
        <v>0</v>
      </c>
      <c r="H70">
        <v>5.747126E-3</v>
      </c>
      <c r="I70">
        <v>696</v>
      </c>
    </row>
    <row r="71" spans="1:9" x14ac:dyDescent="0.25">
      <c r="A71" t="s">
        <v>64</v>
      </c>
      <c r="B71">
        <v>1.1597938E-2</v>
      </c>
      <c r="C71">
        <v>2.7706186000000001E-2</v>
      </c>
      <c r="D71">
        <v>5.1546389999999999E-3</v>
      </c>
      <c r="E71">
        <v>2.5773200000000001E-3</v>
      </c>
      <c r="F71">
        <v>7.7319590000000001E-3</v>
      </c>
      <c r="G71">
        <v>3.221649E-3</v>
      </c>
      <c r="H71">
        <v>1.9329900000000001E-3</v>
      </c>
      <c r="I71">
        <v>1552</v>
      </c>
    </row>
    <row r="72" spans="1:9" x14ac:dyDescent="0.25">
      <c r="A72" t="s">
        <v>65</v>
      </c>
      <c r="B72">
        <v>2.0725389E-2</v>
      </c>
      <c r="C72">
        <v>4.0414508000000002E-2</v>
      </c>
      <c r="D72">
        <v>6.2176169999999999E-3</v>
      </c>
      <c r="E72">
        <v>5.1813470000000002E-3</v>
      </c>
      <c r="F72">
        <v>1.0362694E-2</v>
      </c>
      <c r="G72">
        <v>3.1088079999999998E-3</v>
      </c>
      <c r="H72">
        <v>1.036269E-3</v>
      </c>
      <c r="I72">
        <v>965</v>
      </c>
    </row>
    <row r="73" spans="1:9" x14ac:dyDescent="0.25">
      <c r="A73" t="s">
        <v>66</v>
      </c>
      <c r="B73">
        <v>7.566204E-3</v>
      </c>
      <c r="C73">
        <v>2.7742749000000001E-2</v>
      </c>
      <c r="D73">
        <v>2.5220680000000001E-3</v>
      </c>
      <c r="E73">
        <v>0</v>
      </c>
      <c r="F73">
        <v>8.8272379999999994E-3</v>
      </c>
      <c r="G73">
        <v>2.5220680000000001E-3</v>
      </c>
      <c r="H73">
        <v>2.5220680000000001E-3</v>
      </c>
      <c r="I73">
        <v>793</v>
      </c>
    </row>
    <row r="74" spans="1:9" x14ac:dyDescent="0.25">
      <c r="A74" t="s">
        <v>164</v>
      </c>
      <c r="B74">
        <v>1.9354838999999999E-2</v>
      </c>
      <c r="C74">
        <v>4.0322581000000003E-2</v>
      </c>
      <c r="D74">
        <v>3.2258059999999999E-3</v>
      </c>
      <c r="E74">
        <v>1.6129029999999999E-3</v>
      </c>
      <c r="F74">
        <v>0</v>
      </c>
      <c r="G74">
        <v>3.2258059999999999E-3</v>
      </c>
      <c r="H74">
        <v>0</v>
      </c>
      <c r="I74">
        <v>620</v>
      </c>
    </row>
    <row r="75" spans="1:9" x14ac:dyDescent="0.25">
      <c r="A75" t="s">
        <v>67</v>
      </c>
      <c r="B75">
        <v>3.9840639999999998E-3</v>
      </c>
      <c r="C75">
        <v>5.9760955999999997E-2</v>
      </c>
      <c r="D75">
        <v>0</v>
      </c>
      <c r="E75">
        <v>0</v>
      </c>
      <c r="F75">
        <v>1.1952190999999999E-2</v>
      </c>
      <c r="G75">
        <v>0</v>
      </c>
      <c r="H75">
        <v>0</v>
      </c>
      <c r="I75">
        <v>502</v>
      </c>
    </row>
    <row r="76" spans="1:9" x14ac:dyDescent="0.25">
      <c r="A76" t="s">
        <v>68</v>
      </c>
      <c r="B76">
        <v>1.2121211999999999E-2</v>
      </c>
      <c r="C76">
        <v>3.2323232E-2</v>
      </c>
      <c r="D76">
        <v>4.040404E-3</v>
      </c>
      <c r="E76">
        <v>0</v>
      </c>
      <c r="F76">
        <v>4.040404E-3</v>
      </c>
      <c r="G76">
        <v>0</v>
      </c>
      <c r="H76">
        <v>0</v>
      </c>
      <c r="I76">
        <v>495</v>
      </c>
    </row>
    <row r="77" spans="1:9" x14ac:dyDescent="0.25">
      <c r="A77" t="s">
        <v>69</v>
      </c>
      <c r="B77">
        <v>1.3232514000000001E-2</v>
      </c>
      <c r="C77">
        <v>3.5916824E-2</v>
      </c>
      <c r="D77">
        <v>1.8903590000000001E-3</v>
      </c>
      <c r="E77">
        <v>1.8903590000000001E-3</v>
      </c>
      <c r="F77">
        <v>9.4517960000000002E-3</v>
      </c>
      <c r="G77">
        <v>0</v>
      </c>
      <c r="H77">
        <v>0</v>
      </c>
      <c r="I77">
        <v>529</v>
      </c>
    </row>
    <row r="78" spans="1:9" x14ac:dyDescent="0.25">
      <c r="A78" t="s">
        <v>70</v>
      </c>
      <c r="B78">
        <v>1.1235955000000001E-2</v>
      </c>
      <c r="C78">
        <v>3.1460674000000001E-2</v>
      </c>
      <c r="D78">
        <v>0</v>
      </c>
      <c r="E78">
        <v>2.2471909999999999E-3</v>
      </c>
      <c r="F78">
        <v>0</v>
      </c>
      <c r="G78">
        <v>0</v>
      </c>
      <c r="H78">
        <v>0</v>
      </c>
      <c r="I78">
        <v>445</v>
      </c>
    </row>
    <row r="79" spans="1:9" x14ac:dyDescent="0.25">
      <c r="A79" t="s">
        <v>71</v>
      </c>
      <c r="B79">
        <v>1.7714790000000001E-3</v>
      </c>
      <c r="C79">
        <v>3.9858282000000002E-2</v>
      </c>
      <c r="D79">
        <v>3.5429580000000001E-3</v>
      </c>
      <c r="E79">
        <v>1.7714790000000001E-3</v>
      </c>
      <c r="F79">
        <v>5.3144380000000003E-3</v>
      </c>
      <c r="G79">
        <v>0</v>
      </c>
      <c r="H79">
        <v>1.7714790000000001E-3</v>
      </c>
      <c r="I79">
        <v>1129</v>
      </c>
    </row>
    <row r="80" spans="1:9" x14ac:dyDescent="0.25">
      <c r="A80" t="s">
        <v>72</v>
      </c>
      <c r="B80">
        <v>1.0660979999999999E-3</v>
      </c>
      <c r="C80">
        <v>3.0916843999999999E-2</v>
      </c>
      <c r="D80">
        <v>3.198294E-3</v>
      </c>
      <c r="E80">
        <v>1.0660979999999999E-3</v>
      </c>
      <c r="F80">
        <v>3.198294E-3</v>
      </c>
      <c r="G80">
        <v>3.198294E-3</v>
      </c>
      <c r="H80">
        <v>0</v>
      </c>
      <c r="I80">
        <v>938</v>
      </c>
    </row>
    <row r="81" spans="1:9" x14ac:dyDescent="0.25">
      <c r="A81" t="s">
        <v>73</v>
      </c>
      <c r="B81">
        <v>1.7364658000000002E-2</v>
      </c>
      <c r="C81">
        <v>3.5750766000000003E-2</v>
      </c>
      <c r="D81">
        <v>2.0429010000000002E-3</v>
      </c>
      <c r="E81">
        <v>0</v>
      </c>
      <c r="F81">
        <v>1.2257406E-2</v>
      </c>
      <c r="G81">
        <v>0</v>
      </c>
      <c r="H81">
        <v>0</v>
      </c>
      <c r="I81">
        <v>979</v>
      </c>
    </row>
    <row r="82" spans="1:9" x14ac:dyDescent="0.25">
      <c r="A82" t="s">
        <v>74</v>
      </c>
      <c r="B82">
        <v>8.6848640000000005E-3</v>
      </c>
      <c r="C82">
        <v>2.8535979999999999E-2</v>
      </c>
      <c r="D82">
        <v>4.9627789999999996E-3</v>
      </c>
      <c r="E82">
        <v>0</v>
      </c>
      <c r="F82">
        <v>4.9627789999999996E-3</v>
      </c>
      <c r="G82">
        <v>1.240695E-3</v>
      </c>
      <c r="H82">
        <v>0</v>
      </c>
      <c r="I82">
        <v>806</v>
      </c>
    </row>
    <row r="83" spans="1:9" x14ac:dyDescent="0.25">
      <c r="A83" t="s">
        <v>75</v>
      </c>
      <c r="B83">
        <v>8.0367389999999993E-3</v>
      </c>
      <c r="C83">
        <v>5.0516647999999997E-2</v>
      </c>
      <c r="D83">
        <v>4.592423E-3</v>
      </c>
      <c r="E83">
        <v>2.2962109999999998E-3</v>
      </c>
      <c r="F83">
        <v>1.1481056E-2</v>
      </c>
      <c r="G83">
        <v>0</v>
      </c>
      <c r="H83">
        <v>4.592423E-3</v>
      </c>
      <c r="I83">
        <v>871</v>
      </c>
    </row>
    <row r="84" spans="1:9" x14ac:dyDescent="0.25">
      <c r="A84" t="s">
        <v>76</v>
      </c>
      <c r="B84">
        <v>2.0533881E-2</v>
      </c>
      <c r="C84">
        <v>2.8747432999999999E-2</v>
      </c>
      <c r="D84">
        <v>7.186858E-3</v>
      </c>
      <c r="E84">
        <v>1.0266940000000001E-3</v>
      </c>
      <c r="F84">
        <v>8.2135520000000007E-3</v>
      </c>
      <c r="G84">
        <v>2.0533880000000002E-3</v>
      </c>
      <c r="H84">
        <v>0</v>
      </c>
      <c r="I84">
        <v>974</v>
      </c>
    </row>
    <row r="85" spans="1:9" x14ac:dyDescent="0.25">
      <c r="A85" t="s">
        <v>77</v>
      </c>
      <c r="B85">
        <v>2.2026429999999998E-3</v>
      </c>
      <c r="C85">
        <v>4.9559471000000001E-2</v>
      </c>
      <c r="D85">
        <v>3.3039649999999999E-3</v>
      </c>
      <c r="E85">
        <v>0</v>
      </c>
      <c r="F85">
        <v>4.4052859999999996E-3</v>
      </c>
      <c r="G85">
        <v>1.1013220000000001E-3</v>
      </c>
      <c r="H85">
        <v>0</v>
      </c>
      <c r="I85">
        <v>908</v>
      </c>
    </row>
    <row r="86" spans="1:9" x14ac:dyDescent="0.25">
      <c r="A86" t="s">
        <v>78</v>
      </c>
      <c r="B86">
        <v>3.8314180000000001E-3</v>
      </c>
      <c r="C86">
        <v>3.8314175999999998E-2</v>
      </c>
      <c r="D86">
        <v>9.5785439999999996E-3</v>
      </c>
      <c r="E86">
        <v>0</v>
      </c>
      <c r="F86">
        <v>1.9157087999999999E-2</v>
      </c>
      <c r="G86">
        <v>3.8314180000000001E-3</v>
      </c>
      <c r="H86">
        <v>5.747126E-3</v>
      </c>
      <c r="I86">
        <v>522</v>
      </c>
    </row>
    <row r="87" spans="1:9" x14ac:dyDescent="0.25">
      <c r="A87" t="s">
        <v>79</v>
      </c>
      <c r="B87">
        <v>1.0452962E-2</v>
      </c>
      <c r="C87">
        <v>2.7874564000000001E-2</v>
      </c>
      <c r="D87">
        <v>3.4843209999999999E-3</v>
      </c>
      <c r="E87">
        <v>1.1614399999999999E-3</v>
      </c>
      <c r="F87">
        <v>5.8072009999999997E-3</v>
      </c>
      <c r="G87">
        <v>1.1614399999999999E-3</v>
      </c>
      <c r="H87">
        <v>3.4843209999999999E-3</v>
      </c>
      <c r="I87">
        <v>861</v>
      </c>
    </row>
    <row r="88" spans="1:9" x14ac:dyDescent="0.25">
      <c r="A88" t="s">
        <v>80</v>
      </c>
      <c r="B88">
        <v>1.4492754E-2</v>
      </c>
      <c r="C88">
        <v>3.1620553000000003E-2</v>
      </c>
      <c r="D88">
        <v>5.2700919999999997E-3</v>
      </c>
      <c r="E88">
        <v>1.3175229999999999E-3</v>
      </c>
      <c r="F88">
        <v>3.9525690000000004E-3</v>
      </c>
      <c r="G88">
        <v>0</v>
      </c>
      <c r="H88">
        <v>5.2700919999999997E-3</v>
      </c>
      <c r="I88">
        <v>759</v>
      </c>
    </row>
    <row r="89" spans="1:9" x14ac:dyDescent="0.25">
      <c r="A89" t="s">
        <v>81</v>
      </c>
      <c r="B89">
        <v>1.0971787E-2</v>
      </c>
      <c r="C89">
        <v>3.6050156999999999E-2</v>
      </c>
      <c r="D89">
        <v>1.0971787E-2</v>
      </c>
      <c r="E89">
        <v>0</v>
      </c>
      <c r="F89">
        <v>1.567398E-3</v>
      </c>
      <c r="G89">
        <v>4.7021939999999998E-3</v>
      </c>
      <c r="H89">
        <v>3.134796E-3</v>
      </c>
      <c r="I89">
        <v>638</v>
      </c>
    </row>
    <row r="90" spans="1:9" x14ac:dyDescent="0.25">
      <c r="A90" t="s">
        <v>82</v>
      </c>
      <c r="B90">
        <v>2.0512820000000002E-3</v>
      </c>
      <c r="C90">
        <v>3.5897435999999998E-2</v>
      </c>
      <c r="D90">
        <v>3.0769230000000001E-3</v>
      </c>
      <c r="E90">
        <v>2.0512820000000002E-3</v>
      </c>
      <c r="F90">
        <v>1.6410256000000002E-2</v>
      </c>
      <c r="G90">
        <v>1.0256410000000001E-3</v>
      </c>
      <c r="H90">
        <v>3.0769230000000001E-3</v>
      </c>
      <c r="I90">
        <v>975</v>
      </c>
    </row>
    <row r="91" spans="1:9" x14ac:dyDescent="0.25">
      <c r="A91" t="s">
        <v>83</v>
      </c>
      <c r="B91">
        <v>1.5177065999999999E-2</v>
      </c>
      <c r="C91">
        <v>1.3490725E-2</v>
      </c>
      <c r="D91">
        <v>2.8667791000000001E-2</v>
      </c>
      <c r="E91">
        <v>0</v>
      </c>
      <c r="F91">
        <v>8.4317030000000005E-3</v>
      </c>
      <c r="G91">
        <v>3.3726810000000002E-3</v>
      </c>
      <c r="H91">
        <v>3.3726810000000002E-3</v>
      </c>
      <c r="I91">
        <v>593</v>
      </c>
    </row>
    <row r="92" spans="1:9" x14ac:dyDescent="0.25">
      <c r="A92" t="s">
        <v>84</v>
      </c>
      <c r="B92">
        <v>7.5528699999999997E-3</v>
      </c>
      <c r="C92">
        <v>4.2296072999999997E-2</v>
      </c>
      <c r="D92">
        <v>6.042296E-3</v>
      </c>
      <c r="E92">
        <v>0</v>
      </c>
      <c r="F92">
        <v>9.0634440000000004E-3</v>
      </c>
      <c r="G92">
        <v>1.510574E-3</v>
      </c>
      <c r="H92">
        <v>1.510574E-3</v>
      </c>
      <c r="I92">
        <v>662</v>
      </c>
    </row>
    <row r="93" spans="1:9" x14ac:dyDescent="0.25">
      <c r="A93" t="s">
        <v>85</v>
      </c>
      <c r="B93">
        <v>5.7142859999999998E-3</v>
      </c>
      <c r="C93">
        <v>3.7714286E-2</v>
      </c>
      <c r="D93">
        <v>3.428571E-3</v>
      </c>
      <c r="E93">
        <v>0</v>
      </c>
      <c r="F93">
        <v>4.5714290000000001E-3</v>
      </c>
      <c r="G93">
        <v>0</v>
      </c>
      <c r="H93">
        <v>1.1428569999999999E-3</v>
      </c>
      <c r="I93">
        <v>875</v>
      </c>
    </row>
    <row r="94" spans="1:9" x14ac:dyDescent="0.25">
      <c r="A94" t="s">
        <v>86</v>
      </c>
      <c r="B94">
        <v>1.4492750000000001E-3</v>
      </c>
      <c r="C94">
        <v>6.6666666999999999E-2</v>
      </c>
      <c r="D94">
        <v>1.4492750000000001E-3</v>
      </c>
      <c r="E94">
        <v>0</v>
      </c>
      <c r="F94">
        <v>1.0144927999999999E-2</v>
      </c>
      <c r="G94">
        <v>1.4492750000000001E-3</v>
      </c>
      <c r="H94">
        <v>5.7971009999999998E-3</v>
      </c>
      <c r="I94">
        <v>690</v>
      </c>
    </row>
    <row r="95" spans="1:9" x14ac:dyDescent="0.25">
      <c r="A95" t="s">
        <v>87</v>
      </c>
      <c r="B95">
        <v>1.1450382E-2</v>
      </c>
      <c r="C95">
        <v>3.9694656000000002E-2</v>
      </c>
      <c r="D95">
        <v>6.1068700000000004E-3</v>
      </c>
      <c r="E95">
        <v>1.526718E-3</v>
      </c>
      <c r="F95">
        <v>3.0534350000000002E-3</v>
      </c>
      <c r="G95">
        <v>1.526718E-3</v>
      </c>
      <c r="H95">
        <v>3.0534350000000002E-3</v>
      </c>
      <c r="I95">
        <v>1310</v>
      </c>
    </row>
    <row r="96" spans="1:9" x14ac:dyDescent="0.25">
      <c r="A96" t="s">
        <v>88</v>
      </c>
      <c r="B96">
        <v>1.9083968999999999E-2</v>
      </c>
      <c r="C96">
        <v>4.3893130000000002E-2</v>
      </c>
      <c r="D96">
        <v>1.1450382E-2</v>
      </c>
      <c r="E96">
        <v>0</v>
      </c>
      <c r="F96">
        <v>1.1450382E-2</v>
      </c>
      <c r="G96">
        <v>1.908397E-3</v>
      </c>
      <c r="H96">
        <v>1.908397E-3</v>
      </c>
      <c r="I96">
        <v>524</v>
      </c>
    </row>
    <row r="97" spans="1:9" x14ac:dyDescent="0.25">
      <c r="A97" t="s">
        <v>89</v>
      </c>
      <c r="B97">
        <v>1.5267176E-2</v>
      </c>
      <c r="C97">
        <v>5.9541984999999999E-2</v>
      </c>
      <c r="D97">
        <v>7.6335880000000002E-3</v>
      </c>
      <c r="E97">
        <v>1.526718E-3</v>
      </c>
      <c r="F97">
        <v>6.1068700000000004E-3</v>
      </c>
      <c r="G97">
        <v>1.526718E-3</v>
      </c>
      <c r="H97">
        <v>6.1068700000000004E-3</v>
      </c>
      <c r="I97">
        <v>655</v>
      </c>
    </row>
    <row r="98" spans="1:9" x14ac:dyDescent="0.25">
      <c r="A98" t="s">
        <v>165</v>
      </c>
      <c r="B98">
        <v>4.210526E-3</v>
      </c>
      <c r="C98">
        <v>6.1052632000000003E-2</v>
      </c>
      <c r="D98">
        <v>0</v>
      </c>
      <c r="E98">
        <v>0</v>
      </c>
      <c r="F98">
        <v>2.105263E-3</v>
      </c>
      <c r="G98">
        <v>0</v>
      </c>
      <c r="H98">
        <v>0</v>
      </c>
      <c r="I98">
        <v>475</v>
      </c>
    </row>
    <row r="99" spans="1:9" x14ac:dyDescent="0.25">
      <c r="A99" t="s">
        <v>90</v>
      </c>
      <c r="B99">
        <v>2.0697167999999998E-2</v>
      </c>
      <c r="C99">
        <v>3.0501088999999999E-2</v>
      </c>
      <c r="D99">
        <v>1.3071895E-2</v>
      </c>
      <c r="E99">
        <v>0</v>
      </c>
      <c r="F99">
        <v>4.3572979999999999E-3</v>
      </c>
      <c r="G99">
        <v>1.0893249999999999E-3</v>
      </c>
      <c r="H99">
        <v>3.2679739999999999E-3</v>
      </c>
      <c r="I99">
        <v>918</v>
      </c>
    </row>
    <row r="100" spans="1:9" x14ac:dyDescent="0.25">
      <c r="A100" t="s">
        <v>91</v>
      </c>
      <c r="B100">
        <v>6.4516130000000001E-3</v>
      </c>
      <c r="C100">
        <v>4.0860214999999998E-2</v>
      </c>
      <c r="D100">
        <v>0</v>
      </c>
      <c r="E100">
        <v>0</v>
      </c>
      <c r="F100">
        <v>2.150538E-3</v>
      </c>
      <c r="G100">
        <v>0</v>
      </c>
      <c r="H100">
        <v>6.4516130000000001E-3</v>
      </c>
      <c r="I100">
        <v>465</v>
      </c>
    </row>
    <row r="101" spans="1:9" x14ac:dyDescent="0.25">
      <c r="A101" t="s">
        <v>92</v>
      </c>
      <c r="B101">
        <v>4.3640900000000002E-3</v>
      </c>
      <c r="C101">
        <v>3.6159601E-2</v>
      </c>
      <c r="D101">
        <v>3.7406480000000001E-3</v>
      </c>
      <c r="E101">
        <v>1.870324E-3</v>
      </c>
      <c r="F101">
        <v>5.610973E-3</v>
      </c>
      <c r="G101">
        <v>2.4937660000000001E-3</v>
      </c>
      <c r="H101">
        <v>4.9875309999999999E-3</v>
      </c>
      <c r="I101">
        <v>1604</v>
      </c>
    </row>
    <row r="102" spans="1:9" x14ac:dyDescent="0.25">
      <c r="A102" t="s">
        <v>93</v>
      </c>
      <c r="B102">
        <v>7.0671379999999997E-3</v>
      </c>
      <c r="C102">
        <v>2.3557126000000001E-2</v>
      </c>
      <c r="D102">
        <v>3.5335689999999999E-3</v>
      </c>
      <c r="E102">
        <v>0</v>
      </c>
      <c r="F102">
        <v>1.1778559999999999E-3</v>
      </c>
      <c r="G102">
        <v>0</v>
      </c>
      <c r="H102">
        <v>5.889282E-3</v>
      </c>
      <c r="I102">
        <v>849</v>
      </c>
    </row>
    <row r="103" spans="1:9" x14ac:dyDescent="0.25">
      <c r="A103" t="s">
        <v>94</v>
      </c>
      <c r="B103">
        <v>1.0928962E-2</v>
      </c>
      <c r="C103">
        <v>3.8251366000000002E-2</v>
      </c>
      <c r="D103">
        <v>5.4644810000000002E-3</v>
      </c>
      <c r="E103">
        <v>2.1857920000000002E-3</v>
      </c>
      <c r="F103">
        <v>5.4644810000000002E-3</v>
      </c>
      <c r="G103">
        <v>4.3715849999999999E-3</v>
      </c>
      <c r="H103">
        <v>2.1857920000000002E-3</v>
      </c>
      <c r="I103">
        <v>915</v>
      </c>
    </row>
    <row r="104" spans="1:9" x14ac:dyDescent="0.25">
      <c r="A104" t="s">
        <v>95</v>
      </c>
      <c r="B104">
        <v>1.7488076000000002E-2</v>
      </c>
      <c r="C104">
        <v>5.2464229000000001E-2</v>
      </c>
      <c r="D104">
        <v>9.5389510000000004E-3</v>
      </c>
      <c r="E104">
        <v>1.589825E-3</v>
      </c>
      <c r="F104">
        <v>1.2718601E-2</v>
      </c>
      <c r="G104">
        <v>1.589825E-3</v>
      </c>
      <c r="H104">
        <v>1.589825E-3</v>
      </c>
      <c r="I104">
        <v>629</v>
      </c>
    </row>
    <row r="105" spans="1:9" x14ac:dyDescent="0.25">
      <c r="A105" t="s">
        <v>96</v>
      </c>
      <c r="B105">
        <v>5.0335570000000001E-3</v>
      </c>
      <c r="C105">
        <v>3.6912752E-2</v>
      </c>
      <c r="D105">
        <v>5.0335570000000001E-3</v>
      </c>
      <c r="E105">
        <v>1.6778520000000001E-3</v>
      </c>
      <c r="F105">
        <v>3.3557050000000001E-3</v>
      </c>
      <c r="G105">
        <v>3.3557050000000001E-3</v>
      </c>
      <c r="H105">
        <v>6.7114089999999998E-3</v>
      </c>
      <c r="I105">
        <v>596</v>
      </c>
    </row>
    <row r="106" spans="1:9" x14ac:dyDescent="0.25">
      <c r="A106" t="s">
        <v>97</v>
      </c>
      <c r="B106">
        <v>9.4696969999999991E-3</v>
      </c>
      <c r="C106">
        <v>2.7462120999999999E-2</v>
      </c>
      <c r="D106">
        <v>4.7348479999999998E-3</v>
      </c>
      <c r="E106">
        <v>9.4696999999999999E-4</v>
      </c>
      <c r="F106">
        <v>3.7878790000000001E-3</v>
      </c>
      <c r="G106">
        <v>9.4696999999999999E-4</v>
      </c>
      <c r="H106">
        <v>9.4696999999999999E-4</v>
      </c>
      <c r="I106">
        <v>1056</v>
      </c>
    </row>
    <row r="107" spans="1:9" x14ac:dyDescent="0.25">
      <c r="A107" t="s">
        <v>98</v>
      </c>
      <c r="B107">
        <v>1.3618676999999999E-2</v>
      </c>
      <c r="C107">
        <v>4.6692606999999997E-2</v>
      </c>
      <c r="D107">
        <v>0</v>
      </c>
      <c r="E107">
        <v>1.945525E-3</v>
      </c>
      <c r="F107">
        <v>5.8365759999999996E-3</v>
      </c>
      <c r="G107">
        <v>0</v>
      </c>
      <c r="H107">
        <v>0</v>
      </c>
      <c r="I107">
        <v>514</v>
      </c>
    </row>
    <row r="108" spans="1:9" x14ac:dyDescent="0.25">
      <c r="A108" t="s">
        <v>99</v>
      </c>
      <c r="B108">
        <v>1.402525E-3</v>
      </c>
      <c r="C108">
        <v>2.9453014999999999E-2</v>
      </c>
      <c r="D108">
        <v>2.805049E-3</v>
      </c>
      <c r="E108">
        <v>0</v>
      </c>
      <c r="F108">
        <v>1.1220196E-2</v>
      </c>
      <c r="G108">
        <v>0</v>
      </c>
      <c r="H108">
        <v>0</v>
      </c>
      <c r="I108">
        <v>713</v>
      </c>
    </row>
    <row r="109" spans="1:9" x14ac:dyDescent="0.25">
      <c r="A109" t="s">
        <v>100</v>
      </c>
      <c r="B109">
        <v>4.4247790000000002E-3</v>
      </c>
      <c r="C109">
        <v>4.4247788000000003E-2</v>
      </c>
      <c r="D109">
        <v>1.4749260000000001E-3</v>
      </c>
      <c r="E109">
        <v>1.4749260000000001E-3</v>
      </c>
      <c r="F109">
        <v>4.4247790000000002E-3</v>
      </c>
      <c r="G109">
        <v>0</v>
      </c>
      <c r="H109">
        <v>4.4247790000000002E-3</v>
      </c>
      <c r="I109">
        <v>678</v>
      </c>
    </row>
    <row r="110" spans="1:9" x14ac:dyDescent="0.25">
      <c r="A110" t="s">
        <v>101</v>
      </c>
      <c r="B110">
        <v>1.3262599999999999E-3</v>
      </c>
      <c r="C110">
        <v>2.7851458999999999E-2</v>
      </c>
      <c r="D110">
        <v>0</v>
      </c>
      <c r="E110">
        <v>0</v>
      </c>
      <c r="F110">
        <v>1.3262599999999999E-3</v>
      </c>
      <c r="G110">
        <v>0</v>
      </c>
      <c r="H110">
        <v>1.3262599999999999E-3</v>
      </c>
      <c r="I110">
        <v>754</v>
      </c>
    </row>
    <row r="111" spans="1:9" x14ac:dyDescent="0.25">
      <c r="A111" t="s">
        <v>102</v>
      </c>
      <c r="B111">
        <v>4.784689E-3</v>
      </c>
      <c r="C111">
        <v>2.3923445000000002E-2</v>
      </c>
      <c r="D111">
        <v>4.784689E-3</v>
      </c>
      <c r="E111">
        <v>2.3923439999999998E-3</v>
      </c>
      <c r="F111">
        <v>4.784689E-3</v>
      </c>
      <c r="G111">
        <v>0</v>
      </c>
      <c r="H111">
        <v>4.784689E-3</v>
      </c>
      <c r="I111">
        <v>418</v>
      </c>
    </row>
    <row r="112" spans="1:9" x14ac:dyDescent="0.25">
      <c r="A112" t="s">
        <v>103</v>
      </c>
      <c r="B112">
        <v>6.6445180000000003E-3</v>
      </c>
      <c r="C112">
        <v>6.6445183000000005E-2</v>
      </c>
      <c r="D112">
        <v>3.3222590000000001E-3</v>
      </c>
      <c r="E112">
        <v>0</v>
      </c>
      <c r="F112">
        <v>6.6445180000000003E-3</v>
      </c>
      <c r="G112">
        <v>1.66113E-3</v>
      </c>
      <c r="H112">
        <v>1.66113E-3</v>
      </c>
      <c r="I112">
        <v>602</v>
      </c>
    </row>
    <row r="113" spans="1:9" x14ac:dyDescent="0.25">
      <c r="A113" t="s">
        <v>104</v>
      </c>
      <c r="B113">
        <v>1.1135857000000001E-2</v>
      </c>
      <c r="C113">
        <v>4.6770601000000002E-2</v>
      </c>
      <c r="D113">
        <v>6.6815140000000004E-3</v>
      </c>
      <c r="E113">
        <v>0</v>
      </c>
      <c r="F113">
        <v>1.1135857000000001E-2</v>
      </c>
      <c r="G113">
        <v>2.227171E-3</v>
      </c>
      <c r="H113">
        <v>2.227171E-3</v>
      </c>
      <c r="I113">
        <v>449</v>
      </c>
    </row>
    <row r="114" spans="1:9" x14ac:dyDescent="0.25">
      <c r="A114" t="s">
        <v>105</v>
      </c>
      <c r="B114">
        <v>4.8590860000000003E-3</v>
      </c>
      <c r="C114">
        <v>3.6929057000000001E-2</v>
      </c>
      <c r="D114">
        <v>1.943635E-3</v>
      </c>
      <c r="E114">
        <v>0</v>
      </c>
      <c r="F114">
        <v>4.8590860000000003E-3</v>
      </c>
      <c r="G114">
        <v>1.943635E-3</v>
      </c>
      <c r="H114">
        <v>2.9154519999999998E-3</v>
      </c>
      <c r="I114">
        <v>1029</v>
      </c>
    </row>
    <row r="115" spans="1:9" x14ac:dyDescent="0.25">
      <c r="A115" t="s">
        <v>106</v>
      </c>
      <c r="B115">
        <v>1.2422360000000001E-3</v>
      </c>
      <c r="C115">
        <v>3.8509317000000001E-2</v>
      </c>
      <c r="D115">
        <v>2.4844720000000002E-3</v>
      </c>
      <c r="E115">
        <v>0</v>
      </c>
      <c r="F115">
        <v>8.6956519999999999E-3</v>
      </c>
      <c r="G115">
        <v>1.2422360000000001E-3</v>
      </c>
      <c r="H115">
        <v>0</v>
      </c>
      <c r="I115">
        <v>805</v>
      </c>
    </row>
    <row r="116" spans="1:9" x14ac:dyDescent="0.25">
      <c r="A116" t="s">
        <v>107</v>
      </c>
      <c r="B116">
        <v>2.1390369999999999E-3</v>
      </c>
      <c r="C116">
        <v>3.3155080000000003E-2</v>
      </c>
      <c r="D116">
        <v>6.417112E-3</v>
      </c>
      <c r="E116">
        <v>1.0695189999999999E-3</v>
      </c>
      <c r="F116">
        <v>9.6256680000000004E-3</v>
      </c>
      <c r="G116">
        <v>2.1390369999999999E-3</v>
      </c>
      <c r="H116">
        <v>1.0695189999999999E-3</v>
      </c>
      <c r="I116">
        <v>935</v>
      </c>
    </row>
    <row r="117" spans="1:9" x14ac:dyDescent="0.25">
      <c r="A117" t="s">
        <v>108</v>
      </c>
      <c r="B117">
        <v>1.5151515000000001E-2</v>
      </c>
      <c r="C117">
        <v>4.0404040000000002E-2</v>
      </c>
      <c r="D117">
        <v>3.3670029999999999E-3</v>
      </c>
      <c r="E117">
        <v>3.3670029999999999E-3</v>
      </c>
      <c r="F117">
        <v>1.6835019999999999E-3</v>
      </c>
      <c r="G117">
        <v>3.3670029999999999E-3</v>
      </c>
      <c r="H117">
        <v>0</v>
      </c>
      <c r="I117">
        <v>594</v>
      </c>
    </row>
    <row r="118" spans="1:9" x14ac:dyDescent="0.25">
      <c r="A118" t="s">
        <v>109</v>
      </c>
      <c r="B118">
        <v>3.3557050000000001E-3</v>
      </c>
      <c r="C118">
        <v>4.1387025000000001E-2</v>
      </c>
      <c r="D118">
        <v>6.7114089999999998E-3</v>
      </c>
      <c r="E118">
        <v>2.2371359999999998E-3</v>
      </c>
      <c r="F118">
        <v>4.474273E-3</v>
      </c>
      <c r="G118">
        <v>2.2371359999999998E-3</v>
      </c>
      <c r="H118">
        <v>2.2371359999999998E-3</v>
      </c>
      <c r="I118">
        <v>894</v>
      </c>
    </row>
    <row r="119" spans="1:9" x14ac:dyDescent="0.25">
      <c r="A119" t="s">
        <v>110</v>
      </c>
      <c r="B119">
        <v>4.0453069999999997E-3</v>
      </c>
      <c r="C119">
        <v>3.8834950999999999E-2</v>
      </c>
      <c r="D119">
        <v>0</v>
      </c>
      <c r="E119">
        <v>8.0906100000000002E-4</v>
      </c>
      <c r="F119">
        <v>3.2362459999999999E-3</v>
      </c>
      <c r="G119">
        <v>0</v>
      </c>
      <c r="H119">
        <v>1.618123E-3</v>
      </c>
      <c r="I119">
        <v>1236</v>
      </c>
    </row>
    <row r="120" spans="1:9" x14ac:dyDescent="0.25">
      <c r="A120" t="s">
        <v>111</v>
      </c>
      <c r="B120">
        <v>1.0256410000000001E-2</v>
      </c>
      <c r="C120">
        <v>3.7606837999999997E-2</v>
      </c>
      <c r="D120">
        <v>8.5470089999999995E-3</v>
      </c>
      <c r="E120">
        <v>1.7094020000000001E-3</v>
      </c>
      <c r="F120">
        <v>8.5470089999999995E-3</v>
      </c>
      <c r="G120">
        <v>1.7094020000000001E-3</v>
      </c>
      <c r="H120">
        <v>5.1282050000000003E-3</v>
      </c>
      <c r="I120">
        <v>585</v>
      </c>
    </row>
    <row r="121" spans="1:9" x14ac:dyDescent="0.25">
      <c r="A121" t="s">
        <v>112</v>
      </c>
      <c r="B121">
        <v>6.6934400000000002E-3</v>
      </c>
      <c r="C121">
        <v>5.6224900000000001E-2</v>
      </c>
      <c r="D121">
        <v>1.338688E-3</v>
      </c>
      <c r="E121">
        <v>0</v>
      </c>
      <c r="F121">
        <v>9.370817E-3</v>
      </c>
      <c r="G121">
        <v>0</v>
      </c>
      <c r="H121">
        <v>0</v>
      </c>
      <c r="I121">
        <v>747</v>
      </c>
    </row>
    <row r="122" spans="1:9" x14ac:dyDescent="0.25">
      <c r="A122" t="s">
        <v>113</v>
      </c>
      <c r="B122">
        <v>1.0092515E-2</v>
      </c>
      <c r="C122">
        <v>4.8780487999999997E-2</v>
      </c>
      <c r="D122">
        <v>5.0462570000000002E-3</v>
      </c>
      <c r="E122">
        <v>0</v>
      </c>
      <c r="F122">
        <v>3.3641719999999999E-3</v>
      </c>
      <c r="G122">
        <v>0</v>
      </c>
      <c r="H122">
        <v>2.5231289999999998E-3</v>
      </c>
      <c r="I122">
        <v>1189</v>
      </c>
    </row>
    <row r="123" spans="1:9" x14ac:dyDescent="0.25">
      <c r="A123" t="s">
        <v>114</v>
      </c>
      <c r="B123">
        <v>0</v>
      </c>
      <c r="C123">
        <v>1.9548871999999998E-2</v>
      </c>
      <c r="D123">
        <v>0</v>
      </c>
      <c r="E123">
        <v>0</v>
      </c>
      <c r="F123">
        <v>1.0526316000000001E-2</v>
      </c>
      <c r="G123">
        <v>0</v>
      </c>
      <c r="H123">
        <v>0</v>
      </c>
      <c r="I123">
        <v>665</v>
      </c>
    </row>
    <row r="124" spans="1:9" x14ac:dyDescent="0.25">
      <c r="A124" t="s">
        <v>115</v>
      </c>
      <c r="B124">
        <v>2.5210084000000001E-2</v>
      </c>
      <c r="C124">
        <v>5.0420168000000001E-2</v>
      </c>
      <c r="D124">
        <v>0</v>
      </c>
      <c r="E124">
        <v>0</v>
      </c>
      <c r="F124">
        <v>2.8011199999999998E-3</v>
      </c>
      <c r="G124">
        <v>0</v>
      </c>
      <c r="H124">
        <v>0</v>
      </c>
      <c r="I124">
        <v>357</v>
      </c>
    </row>
    <row r="125" spans="1:9" x14ac:dyDescent="0.25">
      <c r="A125" t="s">
        <v>116</v>
      </c>
      <c r="B125">
        <v>8.6862109999999992E-3</v>
      </c>
      <c r="C125">
        <v>2.4972856000000002E-2</v>
      </c>
      <c r="D125">
        <v>5.4288820000000003E-3</v>
      </c>
      <c r="E125">
        <v>1.0857760000000001E-3</v>
      </c>
      <c r="F125">
        <v>2.1715530000000001E-3</v>
      </c>
      <c r="G125">
        <v>1.0857760000000001E-3</v>
      </c>
      <c r="H125">
        <v>0</v>
      </c>
      <c r="I125">
        <v>921</v>
      </c>
    </row>
    <row r="126" spans="1:9" x14ac:dyDescent="0.25">
      <c r="A126" t="s">
        <v>117</v>
      </c>
      <c r="B126">
        <v>1.2307692E-2</v>
      </c>
      <c r="C126">
        <v>4.3076923000000003E-2</v>
      </c>
      <c r="D126">
        <v>9.2307689999999998E-3</v>
      </c>
      <c r="E126">
        <v>0</v>
      </c>
      <c r="F126">
        <v>3.0769230000000001E-3</v>
      </c>
      <c r="G126">
        <v>0</v>
      </c>
      <c r="H126">
        <v>6.1538460000000001E-3</v>
      </c>
      <c r="I126">
        <v>325</v>
      </c>
    </row>
    <row r="127" spans="1:9" x14ac:dyDescent="0.25">
      <c r="A127" t="s">
        <v>118</v>
      </c>
      <c r="B127">
        <v>4.62963E-3</v>
      </c>
      <c r="C127">
        <v>2.3148148E-2</v>
      </c>
      <c r="D127">
        <v>0</v>
      </c>
      <c r="E127">
        <v>0</v>
      </c>
      <c r="F127">
        <v>1.2037037E-2</v>
      </c>
      <c r="G127">
        <v>0</v>
      </c>
      <c r="H127">
        <v>2.7777779999999998E-3</v>
      </c>
      <c r="I127">
        <v>1080</v>
      </c>
    </row>
    <row r="128" spans="1:9" x14ac:dyDescent="0.25">
      <c r="A128" t="s">
        <v>119</v>
      </c>
      <c r="B128">
        <v>0</v>
      </c>
      <c r="C128">
        <v>2.9118774E-2</v>
      </c>
      <c r="D128">
        <v>9.9616860000000008E-3</v>
      </c>
      <c r="E128">
        <v>0</v>
      </c>
      <c r="F128">
        <v>2.2988510000000002E-3</v>
      </c>
      <c r="G128">
        <v>3.8314180000000001E-3</v>
      </c>
      <c r="H128">
        <v>1.5325670000000001E-3</v>
      </c>
      <c r="I128">
        <v>1305</v>
      </c>
    </row>
    <row r="129" spans="1:9" x14ac:dyDescent="0.25">
      <c r="A129" t="s">
        <v>120</v>
      </c>
      <c r="B129">
        <v>1.0681586999999999E-2</v>
      </c>
      <c r="C129">
        <v>3.1027467E-2</v>
      </c>
      <c r="D129">
        <v>4.0691759999999999E-3</v>
      </c>
      <c r="E129">
        <v>3.0518820000000001E-3</v>
      </c>
      <c r="F129">
        <v>6.6124110000000003E-3</v>
      </c>
      <c r="G129">
        <v>1.017294E-3</v>
      </c>
      <c r="H129">
        <v>1.5259410000000001E-3</v>
      </c>
      <c r="I129">
        <v>1966</v>
      </c>
    </row>
    <row r="130" spans="1:9" x14ac:dyDescent="0.25">
      <c r="A130" t="s">
        <v>121</v>
      </c>
      <c r="B130">
        <v>1.1867089000000001E-2</v>
      </c>
      <c r="C130">
        <v>2.6898734000000001E-2</v>
      </c>
      <c r="D130">
        <v>1.5822779999999999E-3</v>
      </c>
      <c r="E130">
        <v>1.5822779999999999E-3</v>
      </c>
      <c r="F130">
        <v>1.8196203000000001E-2</v>
      </c>
      <c r="G130">
        <v>0</v>
      </c>
      <c r="H130">
        <v>1.5822779999999999E-3</v>
      </c>
      <c r="I130">
        <v>1264</v>
      </c>
    </row>
    <row r="131" spans="1:9" x14ac:dyDescent="0.25">
      <c r="A131" t="s">
        <v>166</v>
      </c>
      <c r="B131">
        <v>0</v>
      </c>
      <c r="C131">
        <v>5.6644880000000002E-2</v>
      </c>
      <c r="D131">
        <v>2.178649E-3</v>
      </c>
      <c r="E131">
        <v>0</v>
      </c>
      <c r="F131">
        <v>8.7145969999999993E-3</v>
      </c>
      <c r="G131">
        <v>0</v>
      </c>
      <c r="H131">
        <v>6.5359479999999998E-3</v>
      </c>
      <c r="I131">
        <v>459</v>
      </c>
    </row>
    <row r="132" spans="1:9" x14ac:dyDescent="0.25">
      <c r="A132" t="s">
        <v>122</v>
      </c>
      <c r="B132">
        <v>1.6730037999999999E-2</v>
      </c>
      <c r="C132">
        <v>5.0190114000000001E-2</v>
      </c>
      <c r="D132">
        <v>6.0836500000000003E-3</v>
      </c>
      <c r="E132">
        <v>7.6045599999999996E-4</v>
      </c>
      <c r="F132">
        <v>7.6045629999999999E-3</v>
      </c>
      <c r="G132">
        <v>1.520913E-3</v>
      </c>
      <c r="H132">
        <v>6.0836500000000003E-3</v>
      </c>
      <c r="I132">
        <v>1315</v>
      </c>
    </row>
    <row r="133" spans="1:9" x14ac:dyDescent="0.25">
      <c r="A133" t="s">
        <v>123</v>
      </c>
      <c r="B133">
        <v>1.8126888000000001E-2</v>
      </c>
      <c r="C133">
        <v>2.5679758E-2</v>
      </c>
      <c r="D133">
        <v>1.2084592E-2</v>
      </c>
      <c r="E133">
        <v>3.021148E-3</v>
      </c>
      <c r="F133">
        <v>1.510574E-3</v>
      </c>
      <c r="G133">
        <v>4.5317220000000002E-3</v>
      </c>
      <c r="H133">
        <v>6.042296E-3</v>
      </c>
      <c r="I133">
        <v>662</v>
      </c>
    </row>
    <row r="134" spans="1:9" x14ac:dyDescent="0.25">
      <c r="A134" t="s">
        <v>124</v>
      </c>
      <c r="B134">
        <v>1.2345679E-2</v>
      </c>
      <c r="C134">
        <v>1.6460905000000001E-2</v>
      </c>
      <c r="D134">
        <v>8.2304530000000004E-3</v>
      </c>
      <c r="E134">
        <v>4.1152259999999996E-3</v>
      </c>
      <c r="F134">
        <v>4.1152259999999996E-3</v>
      </c>
      <c r="G134">
        <v>0</v>
      </c>
      <c r="H134">
        <v>0</v>
      </c>
      <c r="I134">
        <v>243</v>
      </c>
    </row>
    <row r="135" spans="1:9" x14ac:dyDescent="0.25">
      <c r="A135" t="s">
        <v>125</v>
      </c>
      <c r="B135">
        <v>1.1577423999999999E-2</v>
      </c>
      <c r="C135">
        <v>4.3415339999999997E-2</v>
      </c>
      <c r="D135">
        <v>2.8943559999999998E-3</v>
      </c>
      <c r="E135">
        <v>0</v>
      </c>
      <c r="F135">
        <v>2.8943559999999998E-3</v>
      </c>
      <c r="G135">
        <v>1.4471779999999999E-3</v>
      </c>
      <c r="H135">
        <v>1.4471779999999999E-3</v>
      </c>
      <c r="I135">
        <v>691</v>
      </c>
    </row>
    <row r="136" spans="1:9" x14ac:dyDescent="0.25">
      <c r="A136" t="s">
        <v>126</v>
      </c>
      <c r="B136">
        <v>5.5658629999999999E-3</v>
      </c>
      <c r="C136">
        <v>2.5974026000000001E-2</v>
      </c>
      <c r="D136">
        <v>1.8552880000000001E-3</v>
      </c>
      <c r="E136">
        <v>1.8552880000000001E-3</v>
      </c>
      <c r="F136">
        <v>5.5658629999999999E-3</v>
      </c>
      <c r="G136">
        <v>1.8552880000000001E-3</v>
      </c>
      <c r="H136">
        <v>5.5658629999999999E-3</v>
      </c>
      <c r="I136">
        <v>539</v>
      </c>
    </row>
    <row r="137" spans="1:9" x14ac:dyDescent="0.25">
      <c r="A137" t="s">
        <v>127</v>
      </c>
      <c r="B137">
        <v>1.3986014E-2</v>
      </c>
      <c r="C137">
        <v>3.6130535999999998E-2</v>
      </c>
      <c r="D137">
        <v>4.6620050000000003E-3</v>
      </c>
      <c r="E137">
        <v>0</v>
      </c>
      <c r="F137">
        <v>1.5151515000000001E-2</v>
      </c>
      <c r="G137">
        <v>2.331002E-3</v>
      </c>
      <c r="H137">
        <v>2.331002E-3</v>
      </c>
      <c r="I137">
        <v>858</v>
      </c>
    </row>
    <row r="138" spans="1:9" x14ac:dyDescent="0.25">
      <c r="A138" t="s">
        <v>128</v>
      </c>
      <c r="B138">
        <v>1.4613779E-2</v>
      </c>
      <c r="C138">
        <v>3.7578288000000001E-2</v>
      </c>
      <c r="D138">
        <v>1.6701461000000001E-2</v>
      </c>
      <c r="E138">
        <v>0</v>
      </c>
      <c r="F138">
        <v>0</v>
      </c>
      <c r="G138">
        <v>0</v>
      </c>
      <c r="H138">
        <v>2.0876829999999999E-3</v>
      </c>
      <c r="I138">
        <v>479</v>
      </c>
    </row>
    <row r="139" spans="1:9" x14ac:dyDescent="0.25">
      <c r="A139" t="s">
        <v>129</v>
      </c>
      <c r="B139">
        <v>4.2194090000000004E-3</v>
      </c>
      <c r="C139">
        <v>4.0084387999999999E-2</v>
      </c>
      <c r="D139">
        <v>5.274262E-3</v>
      </c>
      <c r="E139">
        <v>1.054852E-3</v>
      </c>
      <c r="F139">
        <v>5.274262E-3</v>
      </c>
      <c r="G139">
        <v>0</v>
      </c>
      <c r="H139">
        <v>3.1645570000000001E-3</v>
      </c>
      <c r="I139">
        <v>948</v>
      </c>
    </row>
    <row r="140" spans="1:9" x14ac:dyDescent="0.25">
      <c r="A140" t="s">
        <v>130</v>
      </c>
      <c r="B140">
        <v>7.8917699999999993E-3</v>
      </c>
      <c r="C140">
        <v>3.0439684000000002E-2</v>
      </c>
      <c r="D140">
        <v>4.5095830000000002E-3</v>
      </c>
      <c r="E140">
        <v>1.1273959999999999E-3</v>
      </c>
      <c r="F140">
        <v>9.0191660000000003E-3</v>
      </c>
      <c r="G140">
        <v>2.2547909999999999E-3</v>
      </c>
      <c r="H140">
        <v>3.382187E-3</v>
      </c>
      <c r="I140">
        <v>887</v>
      </c>
    </row>
    <row r="141" spans="1:9" x14ac:dyDescent="0.25">
      <c r="A141" t="s">
        <v>131</v>
      </c>
      <c r="B141">
        <v>1.1958145999999999E-2</v>
      </c>
      <c r="C141">
        <v>6.4275036999999993E-2</v>
      </c>
      <c r="D141">
        <v>7.4738419999999996E-3</v>
      </c>
      <c r="E141">
        <v>4.4843050000000001E-3</v>
      </c>
      <c r="F141">
        <v>1.0463378000000001E-2</v>
      </c>
      <c r="G141">
        <v>1.4947680000000001E-3</v>
      </c>
      <c r="H141">
        <v>2.989537E-3</v>
      </c>
      <c r="I141">
        <v>669</v>
      </c>
    </row>
    <row r="142" spans="1:9" x14ac:dyDescent="0.25">
      <c r="A142" t="s">
        <v>132</v>
      </c>
      <c r="B142">
        <v>1.0118044E-2</v>
      </c>
      <c r="C142">
        <v>2.7824621000000001E-2</v>
      </c>
      <c r="D142">
        <v>4.215852E-3</v>
      </c>
      <c r="E142">
        <v>3.3726810000000002E-3</v>
      </c>
      <c r="F142">
        <v>5.9021919999999997E-3</v>
      </c>
      <c r="G142">
        <v>0</v>
      </c>
      <c r="H142">
        <v>5.0590219999999998E-3</v>
      </c>
      <c r="I142">
        <v>1186</v>
      </c>
    </row>
    <row r="143" spans="1:9" x14ac:dyDescent="0.25">
      <c r="A143" t="s">
        <v>133</v>
      </c>
      <c r="B143">
        <v>1.2531328E-2</v>
      </c>
      <c r="C143">
        <v>3.2581454000000003E-2</v>
      </c>
      <c r="D143">
        <v>2.506266E-3</v>
      </c>
      <c r="E143">
        <v>7.5187969999999998E-3</v>
      </c>
      <c r="F143">
        <v>7.5187969999999998E-3</v>
      </c>
      <c r="G143">
        <v>0</v>
      </c>
      <c r="H143">
        <v>0</v>
      </c>
      <c r="I143">
        <v>399</v>
      </c>
    </row>
    <row r="144" spans="1:9" x14ac:dyDescent="0.25">
      <c r="A144" t="s">
        <v>134</v>
      </c>
      <c r="B144">
        <v>3.4246580000000001E-3</v>
      </c>
      <c r="C144">
        <v>3.4246575000000001E-2</v>
      </c>
      <c r="D144">
        <v>3.4246580000000001E-3</v>
      </c>
      <c r="E144">
        <v>0</v>
      </c>
      <c r="F144">
        <v>1.7123288E-2</v>
      </c>
      <c r="G144">
        <v>0</v>
      </c>
      <c r="H144">
        <v>0</v>
      </c>
      <c r="I144">
        <v>292</v>
      </c>
    </row>
    <row r="145" spans="1:9" x14ac:dyDescent="0.25">
      <c r="A145" t="s">
        <v>167</v>
      </c>
      <c r="B145">
        <v>6.1349689999999997E-3</v>
      </c>
      <c r="C145">
        <v>6.1349692999999997E-2</v>
      </c>
      <c r="D145">
        <v>6.1349689999999997E-3</v>
      </c>
      <c r="E145">
        <v>0</v>
      </c>
      <c r="F145">
        <v>1.2269939000000001E-2</v>
      </c>
      <c r="G145">
        <v>6.1349689999999997E-3</v>
      </c>
      <c r="H145">
        <v>0</v>
      </c>
      <c r="I145">
        <v>163</v>
      </c>
    </row>
    <row r="146" spans="1:9" x14ac:dyDescent="0.25">
      <c r="A146" t="s">
        <v>136</v>
      </c>
      <c r="B146">
        <v>7.3589529999999997E-3</v>
      </c>
      <c r="C146">
        <v>2.9435814000000001E-2</v>
      </c>
      <c r="D146">
        <v>3.2706459999999999E-3</v>
      </c>
      <c r="E146">
        <v>8.1766100000000002E-4</v>
      </c>
      <c r="F146">
        <v>1.0629599E-2</v>
      </c>
      <c r="G146">
        <v>8.1766100000000002E-4</v>
      </c>
      <c r="H146">
        <v>1.6353229999999999E-3</v>
      </c>
      <c r="I146">
        <v>1223</v>
      </c>
    </row>
    <row r="147" spans="1:9" x14ac:dyDescent="0.25">
      <c r="A147" t="s">
        <v>137</v>
      </c>
      <c r="B147">
        <v>3.1512609999999998E-3</v>
      </c>
      <c r="C147">
        <v>3.8865546000000001E-2</v>
      </c>
      <c r="D147">
        <v>7.352941E-3</v>
      </c>
      <c r="E147">
        <v>0</v>
      </c>
      <c r="F147">
        <v>4.2016809999999996E-3</v>
      </c>
      <c r="G147">
        <v>3.1512609999999998E-3</v>
      </c>
      <c r="H147">
        <v>4.2016809999999996E-3</v>
      </c>
      <c r="I147">
        <v>952</v>
      </c>
    </row>
    <row r="148" spans="1:9" x14ac:dyDescent="0.25">
      <c r="A148" t="s">
        <v>138</v>
      </c>
      <c r="B148">
        <v>9.313155E-3</v>
      </c>
      <c r="C148">
        <v>2.7939464000000001E-2</v>
      </c>
      <c r="D148">
        <v>2.3282889999999999E-3</v>
      </c>
      <c r="E148">
        <v>3.4924330000000001E-3</v>
      </c>
      <c r="F148">
        <v>4.6565770000000003E-3</v>
      </c>
      <c r="G148">
        <v>1.164144E-3</v>
      </c>
      <c r="H148">
        <v>6.9848660000000002E-3</v>
      </c>
      <c r="I148">
        <v>859</v>
      </c>
    </row>
    <row r="149" spans="1:9" x14ac:dyDescent="0.25">
      <c r="A149" t="s">
        <v>139</v>
      </c>
      <c r="B149">
        <v>2.4330900000000002E-3</v>
      </c>
      <c r="C149">
        <v>3.6496349999999997E-2</v>
      </c>
      <c r="D149">
        <v>2.4330900000000002E-3</v>
      </c>
      <c r="E149">
        <v>4.8661800000000003E-3</v>
      </c>
      <c r="F149">
        <v>7.2992700000000001E-3</v>
      </c>
      <c r="G149">
        <v>0</v>
      </c>
      <c r="H149">
        <v>7.2992700000000001E-3</v>
      </c>
      <c r="I149">
        <v>411</v>
      </c>
    </row>
    <row r="150" spans="1:9" x14ac:dyDescent="0.25">
      <c r="A150" t="s">
        <v>140</v>
      </c>
      <c r="B150">
        <v>3.712871E-3</v>
      </c>
      <c r="C150">
        <v>3.7128713000000001E-2</v>
      </c>
      <c r="D150">
        <v>3.712871E-3</v>
      </c>
      <c r="E150">
        <v>0</v>
      </c>
      <c r="F150">
        <v>1.1138614E-2</v>
      </c>
      <c r="G150">
        <v>2.4752480000000002E-3</v>
      </c>
      <c r="H150">
        <v>1.2376240000000001E-3</v>
      </c>
      <c r="I150">
        <v>808</v>
      </c>
    </row>
    <row r="151" spans="1:9" x14ac:dyDescent="0.25">
      <c r="A151" t="s">
        <v>141</v>
      </c>
      <c r="B151">
        <v>6.0240959999999996E-3</v>
      </c>
      <c r="C151">
        <v>3.313253E-2</v>
      </c>
      <c r="D151">
        <v>9.0361450000000006E-3</v>
      </c>
      <c r="E151">
        <v>0</v>
      </c>
      <c r="F151">
        <v>1.3554217E-2</v>
      </c>
      <c r="G151">
        <v>3.0120479999999998E-3</v>
      </c>
      <c r="H151">
        <v>0</v>
      </c>
      <c r="I151">
        <v>664</v>
      </c>
    </row>
    <row r="152" spans="1:9" x14ac:dyDescent="0.25">
      <c r="A152" t="s">
        <v>142</v>
      </c>
      <c r="B152">
        <v>8.4507039999999999E-3</v>
      </c>
      <c r="C152">
        <v>1.9718309999999999E-2</v>
      </c>
      <c r="D152">
        <v>4.2253519999999999E-3</v>
      </c>
      <c r="E152">
        <v>0</v>
      </c>
      <c r="F152">
        <v>2.8169010000000001E-3</v>
      </c>
      <c r="G152">
        <v>1.408451E-3</v>
      </c>
      <c r="H152">
        <v>5.6338029999999997E-3</v>
      </c>
      <c r="I152">
        <v>710</v>
      </c>
    </row>
    <row r="153" spans="1:9" x14ac:dyDescent="0.25">
      <c r="A153" t="s">
        <v>143</v>
      </c>
      <c r="B153">
        <v>2.4054982999999999E-2</v>
      </c>
      <c r="C153">
        <v>1.7182131E-2</v>
      </c>
      <c r="D153">
        <v>1.7182129999999999E-3</v>
      </c>
      <c r="E153">
        <v>6.8728519999999996E-3</v>
      </c>
      <c r="F153">
        <v>6.8728519999999996E-3</v>
      </c>
      <c r="G153">
        <v>0</v>
      </c>
      <c r="H153">
        <v>1.7182129999999999E-3</v>
      </c>
      <c r="I153">
        <v>582</v>
      </c>
    </row>
    <row r="154" spans="1:9" x14ac:dyDescent="0.25">
      <c r="A154" t="s">
        <v>144</v>
      </c>
      <c r="B154">
        <v>6.3291140000000003E-3</v>
      </c>
      <c r="C154">
        <v>2.2784809999999999E-2</v>
      </c>
      <c r="D154">
        <v>2.5316459999999998E-3</v>
      </c>
      <c r="E154">
        <v>0</v>
      </c>
      <c r="F154">
        <v>1.6455695999999999E-2</v>
      </c>
      <c r="G154">
        <v>0</v>
      </c>
      <c r="H154">
        <v>0</v>
      </c>
      <c r="I154">
        <v>790</v>
      </c>
    </row>
    <row r="155" spans="1:9" x14ac:dyDescent="0.25">
      <c r="A155" t="s">
        <v>145</v>
      </c>
      <c r="B155">
        <v>1.1207969999999999E-2</v>
      </c>
      <c r="C155">
        <v>2.1170609999999999E-2</v>
      </c>
      <c r="D155">
        <v>9.96264E-3</v>
      </c>
      <c r="E155">
        <v>2.49066E-3</v>
      </c>
      <c r="F155">
        <v>4.98132E-3</v>
      </c>
      <c r="G155">
        <v>2.49066E-3</v>
      </c>
      <c r="H155">
        <v>0</v>
      </c>
      <c r="I155">
        <v>803</v>
      </c>
    </row>
    <row r="156" spans="1:9" x14ac:dyDescent="0.25">
      <c r="A156" t="s">
        <v>146</v>
      </c>
      <c r="B156">
        <v>1.1135857000000001E-2</v>
      </c>
      <c r="C156">
        <v>6.9042316000000006E-2</v>
      </c>
      <c r="D156">
        <v>2.227171E-3</v>
      </c>
      <c r="E156">
        <v>0</v>
      </c>
      <c r="F156">
        <v>6.6815140000000004E-3</v>
      </c>
      <c r="G156">
        <v>0</v>
      </c>
      <c r="H156">
        <v>6.6815140000000004E-3</v>
      </c>
      <c r="I156">
        <v>449</v>
      </c>
    </row>
    <row r="157" spans="1:9" x14ac:dyDescent="0.25">
      <c r="A157" t="s">
        <v>147</v>
      </c>
      <c r="B157">
        <v>4.7475180000000001E-3</v>
      </c>
      <c r="C157">
        <v>2.8916702999999998E-2</v>
      </c>
      <c r="D157">
        <v>3.4527410000000001E-3</v>
      </c>
      <c r="E157">
        <v>1.7263700000000001E-3</v>
      </c>
      <c r="F157">
        <v>3.4527410000000001E-3</v>
      </c>
      <c r="G157">
        <v>1.2947779999999999E-3</v>
      </c>
      <c r="H157">
        <v>3.4527410000000001E-3</v>
      </c>
      <c r="I157">
        <v>2317</v>
      </c>
    </row>
    <row r="158" spans="1:9" x14ac:dyDescent="0.25">
      <c r="A158" t="s">
        <v>148</v>
      </c>
      <c r="B158">
        <v>1.3669821E-2</v>
      </c>
      <c r="C158">
        <v>3.9957938999999998E-2</v>
      </c>
      <c r="D158">
        <v>2.1030490000000001E-3</v>
      </c>
      <c r="E158">
        <v>0</v>
      </c>
      <c r="F158">
        <v>5.2576239999999998E-3</v>
      </c>
      <c r="G158">
        <v>2.1030490000000001E-3</v>
      </c>
      <c r="H158">
        <v>6.3091479999999997E-3</v>
      </c>
      <c r="I158">
        <v>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7593-75F7-4217-86B9-4DAD00DDD103}">
  <dimension ref="A1:Q158"/>
  <sheetViews>
    <sheetView topLeftCell="A124" workbookViewId="0">
      <selection activeCell="B125" sqref="B125"/>
    </sheetView>
  </sheetViews>
  <sheetFormatPr defaultRowHeight="15" x14ac:dyDescent="0.25"/>
  <cols>
    <col min="1" max="1" width="31.28515625" bestFit="1" customWidth="1"/>
  </cols>
  <sheetData>
    <row r="1" spans="1:17" x14ac:dyDescent="0.25">
      <c r="A1" t="s">
        <v>0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173</v>
      </c>
      <c r="P1" t="s">
        <v>174</v>
      </c>
      <c r="Q1" t="s">
        <v>175</v>
      </c>
    </row>
    <row r="2" spans="1:17" x14ac:dyDescent="0.25">
      <c r="A2" t="s">
        <v>1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 t="s">
        <v>176</v>
      </c>
      <c r="K2" t="s">
        <v>177</v>
      </c>
      <c r="L2" t="s">
        <v>178</v>
      </c>
      <c r="M2" t="s">
        <v>179</v>
      </c>
      <c r="N2" t="s">
        <v>180</v>
      </c>
      <c r="O2" t="s">
        <v>181</v>
      </c>
      <c r="P2" t="s">
        <v>182</v>
      </c>
      <c r="Q2" t="s">
        <v>183</v>
      </c>
    </row>
    <row r="3" spans="1:17" x14ac:dyDescent="0.25">
      <c r="A3" t="s">
        <v>2</v>
      </c>
      <c r="B3">
        <v>0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  <c r="J3" t="s">
        <v>311</v>
      </c>
      <c r="K3" t="s">
        <v>184</v>
      </c>
      <c r="L3" t="s">
        <v>185</v>
      </c>
      <c r="M3" t="s">
        <v>186</v>
      </c>
      <c r="N3" t="s">
        <v>180</v>
      </c>
      <c r="O3" t="s">
        <v>181</v>
      </c>
      <c r="P3" t="s">
        <v>182</v>
      </c>
      <c r="Q3" t="s">
        <v>187</v>
      </c>
    </row>
    <row r="4" spans="1:17" x14ac:dyDescent="0.25">
      <c r="A4" t="s">
        <v>3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 t="s">
        <v>311</v>
      </c>
      <c r="K4" t="s">
        <v>177</v>
      </c>
      <c r="L4" t="s">
        <v>188</v>
      </c>
      <c r="M4" t="s">
        <v>189</v>
      </c>
      <c r="N4" t="s">
        <v>180</v>
      </c>
      <c r="O4" t="s">
        <v>181</v>
      </c>
      <c r="P4" t="s">
        <v>182</v>
      </c>
      <c r="Q4" t="s">
        <v>190</v>
      </c>
    </row>
    <row r="5" spans="1:17" x14ac:dyDescent="0.25">
      <c r="A5" t="s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 t="s">
        <v>191</v>
      </c>
      <c r="K5" t="s">
        <v>177</v>
      </c>
      <c r="L5" t="s">
        <v>178</v>
      </c>
      <c r="M5" t="s">
        <v>192</v>
      </c>
      <c r="N5" t="s">
        <v>180</v>
      </c>
      <c r="O5" t="s">
        <v>181</v>
      </c>
      <c r="P5" t="s">
        <v>182</v>
      </c>
      <c r="Q5" t="s">
        <v>183</v>
      </c>
    </row>
    <row r="6" spans="1:17" x14ac:dyDescent="0.25">
      <c r="A6" t="s">
        <v>5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 t="s">
        <v>193</v>
      </c>
      <c r="K6" t="s">
        <v>194</v>
      </c>
      <c r="L6" t="s">
        <v>195</v>
      </c>
      <c r="M6" t="s">
        <v>196</v>
      </c>
      <c r="N6" t="s">
        <v>180</v>
      </c>
      <c r="O6" t="s">
        <v>181</v>
      </c>
      <c r="P6" t="s">
        <v>182</v>
      </c>
      <c r="Q6" t="s">
        <v>197</v>
      </c>
    </row>
    <row r="7" spans="1:17" x14ac:dyDescent="0.25">
      <c r="A7" t="s">
        <v>6</v>
      </c>
      <c r="B7">
        <v>0</v>
      </c>
      <c r="C7">
        <v>1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 t="s">
        <v>312</v>
      </c>
      <c r="K7" t="s">
        <v>198</v>
      </c>
      <c r="L7" t="s">
        <v>178</v>
      </c>
      <c r="M7" t="s">
        <v>199</v>
      </c>
      <c r="N7" t="s">
        <v>180</v>
      </c>
      <c r="O7" t="s">
        <v>181</v>
      </c>
      <c r="P7" t="s">
        <v>182</v>
      </c>
      <c r="Q7" t="s">
        <v>200</v>
      </c>
    </row>
    <row r="8" spans="1:17" x14ac:dyDescent="0.25">
      <c r="A8" t="s">
        <v>7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 t="s">
        <v>312</v>
      </c>
      <c r="K8" t="s">
        <v>201</v>
      </c>
      <c r="L8" t="s">
        <v>178</v>
      </c>
      <c r="M8" t="s">
        <v>202</v>
      </c>
      <c r="N8" t="s">
        <v>180</v>
      </c>
      <c r="O8" t="s">
        <v>181</v>
      </c>
      <c r="P8" t="s">
        <v>182</v>
      </c>
      <c r="Q8" t="s">
        <v>203</v>
      </c>
    </row>
    <row r="9" spans="1:17" x14ac:dyDescent="0.25">
      <c r="A9" t="s">
        <v>8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 t="s">
        <v>312</v>
      </c>
      <c r="K9" t="s">
        <v>177</v>
      </c>
      <c r="L9" t="s">
        <v>178</v>
      </c>
      <c r="M9" t="s">
        <v>204</v>
      </c>
      <c r="N9" t="s">
        <v>180</v>
      </c>
      <c r="O9" t="s">
        <v>181</v>
      </c>
      <c r="P9" t="s">
        <v>182</v>
      </c>
      <c r="Q9" t="s">
        <v>205</v>
      </c>
    </row>
    <row r="10" spans="1:17" x14ac:dyDescent="0.25">
      <c r="A10" t="s">
        <v>9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 t="s">
        <v>313</v>
      </c>
      <c r="K10" t="s">
        <v>177</v>
      </c>
      <c r="L10" t="s">
        <v>178</v>
      </c>
      <c r="M10" t="s">
        <v>206</v>
      </c>
      <c r="N10" t="s">
        <v>180</v>
      </c>
      <c r="O10" t="s">
        <v>181</v>
      </c>
      <c r="P10" t="s">
        <v>182</v>
      </c>
      <c r="Q10" t="s">
        <v>207</v>
      </c>
    </row>
    <row r="11" spans="1:17" x14ac:dyDescent="0.25">
      <c r="A11" t="s">
        <v>10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 t="s">
        <v>312</v>
      </c>
      <c r="K11" t="s">
        <v>177</v>
      </c>
      <c r="L11" t="s">
        <v>178</v>
      </c>
      <c r="M11" t="s">
        <v>208</v>
      </c>
      <c r="N11" t="s">
        <v>180</v>
      </c>
      <c r="O11" t="s">
        <v>181</v>
      </c>
      <c r="P11" t="s">
        <v>182</v>
      </c>
      <c r="Q11" t="s">
        <v>209</v>
      </c>
    </row>
    <row r="12" spans="1:17" x14ac:dyDescent="0.25">
      <c r="A12" t="s">
        <v>11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 t="s">
        <v>312</v>
      </c>
      <c r="K12" t="s">
        <v>177</v>
      </c>
      <c r="L12" t="s">
        <v>178</v>
      </c>
      <c r="M12" t="s">
        <v>210</v>
      </c>
      <c r="N12" t="s">
        <v>180</v>
      </c>
      <c r="O12" t="s">
        <v>181</v>
      </c>
      <c r="P12" t="s">
        <v>182</v>
      </c>
      <c r="Q12" t="s">
        <v>211</v>
      </c>
    </row>
    <row r="13" spans="1:17" x14ac:dyDescent="0.25">
      <c r="A13" t="s">
        <v>12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 t="s">
        <v>212</v>
      </c>
      <c r="K13" t="s">
        <v>177</v>
      </c>
      <c r="L13" t="s">
        <v>178</v>
      </c>
      <c r="M13" t="s">
        <v>213</v>
      </c>
      <c r="N13" t="s">
        <v>180</v>
      </c>
      <c r="O13" t="s">
        <v>181</v>
      </c>
      <c r="P13" t="s">
        <v>182</v>
      </c>
      <c r="Q13" t="s">
        <v>214</v>
      </c>
    </row>
    <row r="14" spans="1:17" x14ac:dyDescent="0.25">
      <c r="A14" t="s">
        <v>286</v>
      </c>
      <c r="B14">
        <v>1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  <c r="I14">
        <v>1</v>
      </c>
      <c r="J14" t="s">
        <v>215</v>
      </c>
      <c r="K14" t="s">
        <v>216</v>
      </c>
      <c r="L14" t="s">
        <v>217</v>
      </c>
      <c r="M14" t="s">
        <v>218</v>
      </c>
      <c r="N14" t="s">
        <v>180</v>
      </c>
      <c r="O14" t="s">
        <v>181</v>
      </c>
      <c r="P14" t="s">
        <v>182</v>
      </c>
      <c r="Q14" t="s">
        <v>219</v>
      </c>
    </row>
    <row r="15" spans="1:17" x14ac:dyDescent="0.25">
      <c r="A15" t="s">
        <v>287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 t="s">
        <v>314</v>
      </c>
      <c r="K15" t="s">
        <v>220</v>
      </c>
      <c r="L15" t="s">
        <v>178</v>
      </c>
      <c r="M15" t="s">
        <v>221</v>
      </c>
      <c r="N15" t="s">
        <v>180</v>
      </c>
      <c r="O15" t="s">
        <v>181</v>
      </c>
      <c r="P15" t="s">
        <v>182</v>
      </c>
      <c r="Q15" t="s">
        <v>222</v>
      </c>
    </row>
    <row r="16" spans="1:17" x14ac:dyDescent="0.25">
      <c r="A16" t="s">
        <v>13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 t="s">
        <v>312</v>
      </c>
      <c r="K16" t="s">
        <v>177</v>
      </c>
      <c r="L16" t="s">
        <v>178</v>
      </c>
      <c r="M16" t="s">
        <v>223</v>
      </c>
      <c r="N16" t="s">
        <v>180</v>
      </c>
      <c r="O16" t="s">
        <v>181</v>
      </c>
      <c r="P16" t="s">
        <v>182</v>
      </c>
      <c r="Q16" t="s">
        <v>224</v>
      </c>
    </row>
    <row r="17" spans="1:17" x14ac:dyDescent="0.25">
      <c r="A17" t="s">
        <v>288</v>
      </c>
      <c r="B17">
        <v>1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 t="s">
        <v>315</v>
      </c>
      <c r="K17" t="s">
        <v>177</v>
      </c>
      <c r="L17" t="s">
        <v>178</v>
      </c>
      <c r="M17" t="s">
        <v>225</v>
      </c>
      <c r="N17" t="s">
        <v>180</v>
      </c>
      <c r="O17" t="s">
        <v>181</v>
      </c>
      <c r="P17" t="s">
        <v>182</v>
      </c>
      <c r="Q17" t="s">
        <v>226</v>
      </c>
    </row>
    <row r="18" spans="1:17" x14ac:dyDescent="0.25">
      <c r="A18" t="s">
        <v>14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 t="s">
        <v>316</v>
      </c>
      <c r="K18" t="s">
        <v>227</v>
      </c>
      <c r="L18" t="s">
        <v>178</v>
      </c>
      <c r="M18" t="s">
        <v>228</v>
      </c>
      <c r="N18" t="s">
        <v>180</v>
      </c>
      <c r="O18" t="s">
        <v>181</v>
      </c>
      <c r="P18" t="s">
        <v>182</v>
      </c>
      <c r="Q18" t="s">
        <v>229</v>
      </c>
    </row>
    <row r="19" spans="1:17" x14ac:dyDescent="0.25">
      <c r="A19" t="s">
        <v>15</v>
      </c>
      <c r="B19">
        <v>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 t="s">
        <v>312</v>
      </c>
      <c r="K19" t="s">
        <v>177</v>
      </c>
      <c r="L19" t="s">
        <v>178</v>
      </c>
      <c r="M19" t="s">
        <v>230</v>
      </c>
      <c r="N19" t="s">
        <v>180</v>
      </c>
      <c r="O19" t="s">
        <v>181</v>
      </c>
      <c r="P19" t="s">
        <v>182</v>
      </c>
      <c r="Q19" t="s">
        <v>231</v>
      </c>
    </row>
    <row r="20" spans="1:17" x14ac:dyDescent="0.25">
      <c r="A20" t="s">
        <v>16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 t="s">
        <v>312</v>
      </c>
      <c r="K20" t="s">
        <v>177</v>
      </c>
      <c r="L20" t="s">
        <v>178</v>
      </c>
      <c r="M20" t="s">
        <v>232</v>
      </c>
      <c r="N20" t="s">
        <v>180</v>
      </c>
      <c r="O20" t="s">
        <v>181</v>
      </c>
      <c r="P20" t="s">
        <v>182</v>
      </c>
      <c r="Q20" t="s">
        <v>233</v>
      </c>
    </row>
    <row r="21" spans="1:17" x14ac:dyDescent="0.25">
      <c r="A21" t="s">
        <v>289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 t="s">
        <v>234</v>
      </c>
      <c r="K21" t="s">
        <v>177</v>
      </c>
      <c r="L21" t="s">
        <v>178</v>
      </c>
      <c r="M21" t="s">
        <v>235</v>
      </c>
      <c r="N21" t="s">
        <v>180</v>
      </c>
      <c r="O21" t="s">
        <v>181</v>
      </c>
      <c r="P21" t="s">
        <v>182</v>
      </c>
      <c r="Q21" t="s">
        <v>236</v>
      </c>
    </row>
    <row r="22" spans="1:17" x14ac:dyDescent="0.25">
      <c r="A22" t="s">
        <v>17</v>
      </c>
      <c r="B22">
        <v>1</v>
      </c>
      <c r="C22">
        <v>1</v>
      </c>
      <c r="D22">
        <v>0</v>
      </c>
      <c r="E22">
        <v>1</v>
      </c>
      <c r="F22">
        <v>1</v>
      </c>
      <c r="G22">
        <v>0</v>
      </c>
      <c r="H22">
        <v>1</v>
      </c>
      <c r="I22">
        <v>1</v>
      </c>
      <c r="J22" t="s">
        <v>317</v>
      </c>
      <c r="K22" t="s">
        <v>237</v>
      </c>
      <c r="L22" t="s">
        <v>178</v>
      </c>
      <c r="M22" t="s">
        <v>238</v>
      </c>
      <c r="N22" t="s">
        <v>239</v>
      </c>
      <c r="O22" t="s">
        <v>181</v>
      </c>
      <c r="P22" t="s">
        <v>240</v>
      </c>
      <c r="Q22" t="s">
        <v>241</v>
      </c>
    </row>
    <row r="23" spans="1:17" x14ac:dyDescent="0.25">
      <c r="A23" t="s">
        <v>18</v>
      </c>
      <c r="B23">
        <v>1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 t="s">
        <v>242</v>
      </c>
      <c r="K23" t="s">
        <v>177</v>
      </c>
      <c r="L23" t="s">
        <v>243</v>
      </c>
      <c r="M23" t="s">
        <v>244</v>
      </c>
      <c r="N23" t="s">
        <v>180</v>
      </c>
      <c r="O23" t="s">
        <v>181</v>
      </c>
      <c r="P23" t="s">
        <v>182</v>
      </c>
      <c r="Q23" t="s">
        <v>245</v>
      </c>
    </row>
    <row r="24" spans="1:17" x14ac:dyDescent="0.25">
      <c r="A24" t="s">
        <v>19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 t="s">
        <v>312</v>
      </c>
      <c r="K24" t="s">
        <v>177</v>
      </c>
      <c r="L24" t="s">
        <v>178</v>
      </c>
      <c r="M24" t="s">
        <v>246</v>
      </c>
      <c r="N24" t="s">
        <v>180</v>
      </c>
      <c r="O24" t="s">
        <v>181</v>
      </c>
      <c r="P24" t="s">
        <v>182</v>
      </c>
      <c r="Q24" t="s">
        <v>233</v>
      </c>
    </row>
    <row r="25" spans="1:17" x14ac:dyDescent="0.25">
      <c r="A25" t="s">
        <v>20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 t="s">
        <v>312</v>
      </c>
      <c r="K25" t="s">
        <v>177</v>
      </c>
      <c r="L25" t="s">
        <v>178</v>
      </c>
      <c r="M25" t="s">
        <v>247</v>
      </c>
      <c r="N25" t="s">
        <v>180</v>
      </c>
      <c r="O25" t="s">
        <v>181</v>
      </c>
      <c r="P25" t="s">
        <v>182</v>
      </c>
      <c r="Q25" t="s">
        <v>248</v>
      </c>
    </row>
    <row r="26" spans="1:17" x14ac:dyDescent="0.25">
      <c r="A26" t="s">
        <v>21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 t="s">
        <v>234</v>
      </c>
      <c r="K26" t="s">
        <v>177</v>
      </c>
      <c r="L26" t="s">
        <v>178</v>
      </c>
      <c r="M26" t="s">
        <v>249</v>
      </c>
      <c r="N26" t="s">
        <v>180</v>
      </c>
      <c r="O26" t="s">
        <v>181</v>
      </c>
      <c r="P26" t="s">
        <v>182</v>
      </c>
      <c r="Q26" t="s">
        <v>248</v>
      </c>
    </row>
    <row r="27" spans="1:17" x14ac:dyDescent="0.25">
      <c r="A27" t="s">
        <v>22</v>
      </c>
      <c r="B27">
        <v>1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 t="s">
        <v>250</v>
      </c>
      <c r="K27" t="s">
        <v>177</v>
      </c>
      <c r="L27" t="s">
        <v>178</v>
      </c>
      <c r="M27" t="s">
        <v>251</v>
      </c>
      <c r="N27" t="s">
        <v>180</v>
      </c>
      <c r="O27" t="s">
        <v>181</v>
      </c>
      <c r="P27" t="s">
        <v>318</v>
      </c>
      <c r="Q27" t="s">
        <v>252</v>
      </c>
    </row>
    <row r="28" spans="1:17" x14ac:dyDescent="0.25">
      <c r="A28" t="s">
        <v>23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253</v>
      </c>
      <c r="K28" t="s">
        <v>177</v>
      </c>
      <c r="L28" t="s">
        <v>178</v>
      </c>
      <c r="M28" t="s">
        <v>254</v>
      </c>
      <c r="N28" t="s">
        <v>180</v>
      </c>
      <c r="O28" t="s">
        <v>181</v>
      </c>
      <c r="P28" t="s">
        <v>182</v>
      </c>
      <c r="Q28" t="s">
        <v>255</v>
      </c>
    </row>
    <row r="29" spans="1:17" x14ac:dyDescent="0.25">
      <c r="A29" t="s">
        <v>24</v>
      </c>
      <c r="B29">
        <v>1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 t="s">
        <v>256</v>
      </c>
      <c r="K29" t="s">
        <v>177</v>
      </c>
      <c r="L29" t="s">
        <v>178</v>
      </c>
      <c r="M29" t="s">
        <v>257</v>
      </c>
      <c r="N29" t="s">
        <v>258</v>
      </c>
      <c r="O29" t="s">
        <v>181</v>
      </c>
      <c r="P29" t="s">
        <v>182</v>
      </c>
      <c r="Q29" t="s">
        <v>259</v>
      </c>
    </row>
    <row r="30" spans="1:17" x14ac:dyDescent="0.25">
      <c r="A30" t="s">
        <v>25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1</v>
      </c>
      <c r="I30">
        <v>0</v>
      </c>
      <c r="J30" t="s">
        <v>312</v>
      </c>
      <c r="K30" t="s">
        <v>177</v>
      </c>
      <c r="L30" t="s">
        <v>178</v>
      </c>
      <c r="M30" t="s">
        <v>260</v>
      </c>
      <c r="N30" t="s">
        <v>180</v>
      </c>
      <c r="O30" t="s">
        <v>181</v>
      </c>
      <c r="P30" t="s">
        <v>261</v>
      </c>
      <c r="Q30" t="s">
        <v>248</v>
      </c>
    </row>
    <row r="31" spans="1:17" x14ac:dyDescent="0.25">
      <c r="A31" t="s">
        <v>26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 t="s">
        <v>234</v>
      </c>
      <c r="K31" t="s">
        <v>177</v>
      </c>
      <c r="L31" t="s">
        <v>178</v>
      </c>
      <c r="M31" t="s">
        <v>262</v>
      </c>
      <c r="N31" t="s">
        <v>180</v>
      </c>
      <c r="O31" t="s">
        <v>181</v>
      </c>
      <c r="P31" t="s">
        <v>182</v>
      </c>
      <c r="Q31" t="s">
        <v>263</v>
      </c>
    </row>
    <row r="32" spans="1:17" x14ac:dyDescent="0.25">
      <c r="A32" t="s">
        <v>27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 t="s">
        <v>319</v>
      </c>
      <c r="K32" t="s">
        <v>177</v>
      </c>
      <c r="L32" t="s">
        <v>178</v>
      </c>
      <c r="M32" t="s">
        <v>264</v>
      </c>
      <c r="N32" t="s">
        <v>180</v>
      </c>
      <c r="O32" t="s">
        <v>181</v>
      </c>
      <c r="P32" t="s">
        <v>182</v>
      </c>
      <c r="Q32" t="s">
        <v>233</v>
      </c>
    </row>
    <row r="33" spans="1:17" x14ac:dyDescent="0.25">
      <c r="A33" t="s">
        <v>28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 t="s">
        <v>312</v>
      </c>
      <c r="K33" t="s">
        <v>177</v>
      </c>
      <c r="L33" t="s">
        <v>178</v>
      </c>
      <c r="M33" t="s">
        <v>265</v>
      </c>
      <c r="N33" t="s">
        <v>180</v>
      </c>
      <c r="O33" t="s">
        <v>181</v>
      </c>
      <c r="P33" t="s">
        <v>182</v>
      </c>
      <c r="Q33" t="s">
        <v>266</v>
      </c>
    </row>
    <row r="34" spans="1:17" x14ac:dyDescent="0.25">
      <c r="A34" t="s">
        <v>290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 t="s">
        <v>320</v>
      </c>
      <c r="K34" t="s">
        <v>177</v>
      </c>
      <c r="L34" t="s">
        <v>178</v>
      </c>
      <c r="M34" t="s">
        <v>267</v>
      </c>
      <c r="N34" t="s">
        <v>180</v>
      </c>
      <c r="O34" t="s">
        <v>181</v>
      </c>
      <c r="P34" t="s">
        <v>182</v>
      </c>
      <c r="Q34" t="s">
        <v>248</v>
      </c>
    </row>
    <row r="35" spans="1:17" x14ac:dyDescent="0.25">
      <c r="A35" t="s">
        <v>29</v>
      </c>
      <c r="B35">
        <v>1</v>
      </c>
      <c r="C35">
        <v>0</v>
      </c>
      <c r="D35">
        <v>1</v>
      </c>
      <c r="E35">
        <v>1</v>
      </c>
      <c r="F35">
        <v>0</v>
      </c>
      <c r="G35">
        <v>0</v>
      </c>
      <c r="H35">
        <v>1</v>
      </c>
      <c r="I35">
        <v>1</v>
      </c>
      <c r="J35" t="s">
        <v>321</v>
      </c>
      <c r="K35" t="s">
        <v>177</v>
      </c>
      <c r="L35" t="s">
        <v>268</v>
      </c>
      <c r="M35" t="s">
        <v>208</v>
      </c>
      <c r="N35" t="s">
        <v>180</v>
      </c>
      <c r="O35" t="s">
        <v>181</v>
      </c>
      <c r="P35" t="s">
        <v>269</v>
      </c>
      <c r="Q35" t="s">
        <v>270</v>
      </c>
    </row>
    <row r="36" spans="1:17" x14ac:dyDescent="0.25">
      <c r="A36" t="s">
        <v>30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 t="s">
        <v>322</v>
      </c>
      <c r="K36" t="s">
        <v>177</v>
      </c>
      <c r="L36" t="s">
        <v>178</v>
      </c>
      <c r="M36" t="s">
        <v>271</v>
      </c>
      <c r="N36" t="s">
        <v>180</v>
      </c>
      <c r="O36" t="s">
        <v>181</v>
      </c>
      <c r="P36" t="s">
        <v>272</v>
      </c>
      <c r="Q36" t="s">
        <v>248</v>
      </c>
    </row>
    <row r="37" spans="1:17" x14ac:dyDescent="0.25">
      <c r="A37" t="s">
        <v>31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 t="s">
        <v>312</v>
      </c>
      <c r="K37" t="s">
        <v>177</v>
      </c>
      <c r="L37" t="s">
        <v>178</v>
      </c>
      <c r="M37" t="s">
        <v>273</v>
      </c>
      <c r="N37" t="s">
        <v>180</v>
      </c>
      <c r="O37" t="s">
        <v>181</v>
      </c>
      <c r="P37" t="s">
        <v>274</v>
      </c>
      <c r="Q37" t="s">
        <v>275</v>
      </c>
    </row>
    <row r="38" spans="1:17" x14ac:dyDescent="0.25">
      <c r="A38" t="s">
        <v>32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 t="s">
        <v>323</v>
      </c>
      <c r="K38" t="s">
        <v>177</v>
      </c>
      <c r="L38" t="s">
        <v>178</v>
      </c>
      <c r="M38" t="s">
        <v>324</v>
      </c>
      <c r="N38" t="s">
        <v>180</v>
      </c>
      <c r="O38" t="s">
        <v>181</v>
      </c>
      <c r="P38" t="s">
        <v>182</v>
      </c>
      <c r="Q38" t="s">
        <v>325</v>
      </c>
    </row>
    <row r="39" spans="1:17" x14ac:dyDescent="0.25">
      <c r="A39" t="s">
        <v>33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 t="s">
        <v>326</v>
      </c>
      <c r="K39" t="s">
        <v>177</v>
      </c>
      <c r="L39" t="s">
        <v>178</v>
      </c>
      <c r="M39" t="s">
        <v>327</v>
      </c>
      <c r="N39" t="s">
        <v>180</v>
      </c>
      <c r="O39" t="s">
        <v>181</v>
      </c>
      <c r="P39" t="s">
        <v>182</v>
      </c>
      <c r="Q39" t="s">
        <v>248</v>
      </c>
    </row>
    <row r="40" spans="1:17" x14ac:dyDescent="0.25">
      <c r="A40" t="s">
        <v>291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 t="s">
        <v>328</v>
      </c>
      <c r="K40" t="s">
        <v>177</v>
      </c>
      <c r="L40" t="s">
        <v>329</v>
      </c>
      <c r="M40" t="s">
        <v>330</v>
      </c>
      <c r="N40" t="s">
        <v>331</v>
      </c>
      <c r="O40" t="s">
        <v>332</v>
      </c>
      <c r="P40" t="s">
        <v>333</v>
      </c>
      <c r="Q40" t="s">
        <v>334</v>
      </c>
    </row>
    <row r="41" spans="1:17" x14ac:dyDescent="0.25">
      <c r="A41" t="s">
        <v>34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 t="s">
        <v>335</v>
      </c>
      <c r="K41" t="s">
        <v>177</v>
      </c>
      <c r="L41" t="s">
        <v>178</v>
      </c>
      <c r="M41" t="s">
        <v>336</v>
      </c>
      <c r="N41" t="s">
        <v>180</v>
      </c>
      <c r="O41" t="s">
        <v>181</v>
      </c>
      <c r="P41" t="s">
        <v>182</v>
      </c>
      <c r="Q41" t="s">
        <v>248</v>
      </c>
    </row>
    <row r="42" spans="1:17" x14ac:dyDescent="0.25">
      <c r="A42" t="s">
        <v>35</v>
      </c>
      <c r="B42">
        <v>1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 t="s">
        <v>337</v>
      </c>
      <c r="K42" t="s">
        <v>177</v>
      </c>
      <c r="L42" t="s">
        <v>178</v>
      </c>
      <c r="M42" t="s">
        <v>338</v>
      </c>
      <c r="N42" t="s">
        <v>180</v>
      </c>
      <c r="O42" t="s">
        <v>181</v>
      </c>
      <c r="P42" t="s">
        <v>339</v>
      </c>
      <c r="Q42" t="s">
        <v>340</v>
      </c>
    </row>
    <row r="43" spans="1:17" x14ac:dyDescent="0.25">
      <c r="A43" t="s">
        <v>36</v>
      </c>
      <c r="B43">
        <v>1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 t="s">
        <v>312</v>
      </c>
      <c r="K43" t="s">
        <v>177</v>
      </c>
      <c r="L43" t="s">
        <v>341</v>
      </c>
      <c r="M43" t="s">
        <v>342</v>
      </c>
      <c r="N43" t="s">
        <v>180</v>
      </c>
      <c r="O43" t="s">
        <v>181</v>
      </c>
      <c r="P43" t="s">
        <v>343</v>
      </c>
      <c r="Q43" t="s">
        <v>344</v>
      </c>
    </row>
    <row r="44" spans="1:17" x14ac:dyDescent="0.25">
      <c r="A44" t="s">
        <v>37</v>
      </c>
      <c r="B44">
        <v>1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 t="s">
        <v>345</v>
      </c>
      <c r="K44" t="s">
        <v>177</v>
      </c>
      <c r="L44" t="s">
        <v>346</v>
      </c>
      <c r="M44" t="s">
        <v>347</v>
      </c>
      <c r="N44" t="s">
        <v>180</v>
      </c>
      <c r="O44" t="s">
        <v>181</v>
      </c>
      <c r="P44" t="s">
        <v>348</v>
      </c>
      <c r="Q44" t="s">
        <v>349</v>
      </c>
    </row>
    <row r="45" spans="1:17" x14ac:dyDescent="0.25">
      <c r="A45" t="s">
        <v>38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350</v>
      </c>
      <c r="K45" t="s">
        <v>177</v>
      </c>
      <c r="L45" t="s">
        <v>178</v>
      </c>
      <c r="M45" t="s">
        <v>351</v>
      </c>
      <c r="N45" t="s">
        <v>180</v>
      </c>
      <c r="O45" t="s">
        <v>181</v>
      </c>
      <c r="P45" t="s">
        <v>182</v>
      </c>
      <c r="Q45" t="s">
        <v>248</v>
      </c>
    </row>
    <row r="46" spans="1:17" x14ac:dyDescent="0.25">
      <c r="A46" t="s">
        <v>39</v>
      </c>
      <c r="B46">
        <v>1</v>
      </c>
      <c r="C46">
        <v>1</v>
      </c>
      <c r="D46">
        <v>1</v>
      </c>
      <c r="E46">
        <v>1</v>
      </c>
      <c r="F46">
        <v>0</v>
      </c>
      <c r="G46">
        <v>0</v>
      </c>
      <c r="H46">
        <v>0</v>
      </c>
      <c r="I46">
        <v>1</v>
      </c>
      <c r="J46" t="s">
        <v>352</v>
      </c>
      <c r="K46" t="s">
        <v>353</v>
      </c>
      <c r="L46" t="s">
        <v>354</v>
      </c>
      <c r="M46" t="s">
        <v>355</v>
      </c>
      <c r="N46" t="s">
        <v>180</v>
      </c>
      <c r="O46" t="s">
        <v>181</v>
      </c>
      <c r="P46" t="s">
        <v>356</v>
      </c>
      <c r="Q46" t="s">
        <v>357</v>
      </c>
    </row>
    <row r="47" spans="1:17" x14ac:dyDescent="0.25">
      <c r="A47" t="s">
        <v>40</v>
      </c>
      <c r="B47">
        <v>1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 t="s">
        <v>358</v>
      </c>
      <c r="K47" t="s">
        <v>177</v>
      </c>
      <c r="L47" t="s">
        <v>178</v>
      </c>
      <c r="M47" t="s">
        <v>359</v>
      </c>
      <c r="N47" t="s">
        <v>180</v>
      </c>
      <c r="O47" t="s">
        <v>181</v>
      </c>
      <c r="P47" t="s">
        <v>182</v>
      </c>
      <c r="Q47" t="s">
        <v>248</v>
      </c>
    </row>
    <row r="48" spans="1:17" x14ac:dyDescent="0.25">
      <c r="A48" t="s">
        <v>41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 t="s">
        <v>312</v>
      </c>
      <c r="K48" t="s">
        <v>177</v>
      </c>
      <c r="L48" t="s">
        <v>360</v>
      </c>
      <c r="M48" t="s">
        <v>361</v>
      </c>
      <c r="N48" t="s">
        <v>180</v>
      </c>
      <c r="O48" t="s">
        <v>181</v>
      </c>
      <c r="P48" t="s">
        <v>182</v>
      </c>
      <c r="Q48" t="s">
        <v>362</v>
      </c>
    </row>
    <row r="49" spans="1:17" x14ac:dyDescent="0.25">
      <c r="A49" t="s">
        <v>42</v>
      </c>
      <c r="B49">
        <v>0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 t="s">
        <v>312</v>
      </c>
      <c r="K49" t="s">
        <v>177</v>
      </c>
      <c r="L49" t="s">
        <v>363</v>
      </c>
      <c r="M49" t="s">
        <v>364</v>
      </c>
      <c r="N49" t="s">
        <v>180</v>
      </c>
      <c r="O49" t="s">
        <v>181</v>
      </c>
      <c r="P49" t="s">
        <v>182</v>
      </c>
      <c r="Q49" t="s">
        <v>362</v>
      </c>
    </row>
    <row r="50" spans="1:17" x14ac:dyDescent="0.25">
      <c r="A50" t="s">
        <v>43</v>
      </c>
      <c r="B50">
        <v>1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  <c r="J50" t="s">
        <v>365</v>
      </c>
      <c r="K50" t="s">
        <v>177</v>
      </c>
      <c r="L50" t="s">
        <v>178</v>
      </c>
      <c r="M50" t="s">
        <v>366</v>
      </c>
      <c r="N50" t="s">
        <v>180</v>
      </c>
      <c r="O50" t="s">
        <v>181</v>
      </c>
      <c r="P50" t="s">
        <v>182</v>
      </c>
      <c r="Q50" t="s">
        <v>367</v>
      </c>
    </row>
    <row r="51" spans="1:17" x14ac:dyDescent="0.25">
      <c r="A51" t="s">
        <v>44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 t="s">
        <v>312</v>
      </c>
      <c r="K51" t="s">
        <v>177</v>
      </c>
      <c r="L51" t="s">
        <v>368</v>
      </c>
      <c r="M51" t="s">
        <v>369</v>
      </c>
      <c r="N51" t="s">
        <v>180</v>
      </c>
      <c r="O51" t="s">
        <v>181</v>
      </c>
      <c r="P51" t="s">
        <v>182</v>
      </c>
      <c r="Q51" t="s">
        <v>370</v>
      </c>
    </row>
    <row r="52" spans="1:17" x14ac:dyDescent="0.25">
      <c r="A52" t="s">
        <v>45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 t="s">
        <v>312</v>
      </c>
      <c r="K52" t="s">
        <v>177</v>
      </c>
      <c r="L52" t="s">
        <v>178</v>
      </c>
      <c r="M52" t="s">
        <v>371</v>
      </c>
      <c r="N52" t="s">
        <v>180</v>
      </c>
      <c r="O52" t="s">
        <v>181</v>
      </c>
      <c r="P52" t="s">
        <v>182</v>
      </c>
      <c r="Q52" t="s">
        <v>362</v>
      </c>
    </row>
    <row r="53" spans="1:17" x14ac:dyDescent="0.25">
      <c r="A53" t="s">
        <v>46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1</v>
      </c>
      <c r="J53" t="s">
        <v>312</v>
      </c>
      <c r="K53" t="s">
        <v>177</v>
      </c>
      <c r="L53" t="s">
        <v>178</v>
      </c>
      <c r="M53" t="s">
        <v>372</v>
      </c>
      <c r="N53" t="s">
        <v>180</v>
      </c>
      <c r="O53" t="s">
        <v>181</v>
      </c>
      <c r="P53" t="s">
        <v>373</v>
      </c>
      <c r="Q53" t="s">
        <v>374</v>
      </c>
    </row>
    <row r="54" spans="1:17" x14ac:dyDescent="0.25">
      <c r="A54" t="s">
        <v>47</v>
      </c>
      <c r="B54">
        <v>1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 t="s">
        <v>375</v>
      </c>
      <c r="K54" t="s">
        <v>177</v>
      </c>
      <c r="L54" t="s">
        <v>178</v>
      </c>
      <c r="M54" t="s">
        <v>376</v>
      </c>
      <c r="N54" t="s">
        <v>180</v>
      </c>
      <c r="O54" t="s">
        <v>181</v>
      </c>
      <c r="P54" t="s">
        <v>182</v>
      </c>
      <c r="Q54" t="s">
        <v>362</v>
      </c>
    </row>
    <row r="55" spans="1:17" x14ac:dyDescent="0.25">
      <c r="A55" t="s">
        <v>48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 t="s">
        <v>377</v>
      </c>
      <c r="K55" t="s">
        <v>177</v>
      </c>
      <c r="L55" t="s">
        <v>178</v>
      </c>
      <c r="M55" t="s">
        <v>378</v>
      </c>
      <c r="N55" t="s">
        <v>180</v>
      </c>
      <c r="O55" t="s">
        <v>181</v>
      </c>
      <c r="P55" t="s">
        <v>182</v>
      </c>
      <c r="Q55" t="s">
        <v>379</v>
      </c>
    </row>
    <row r="56" spans="1:17" x14ac:dyDescent="0.25">
      <c r="A56" t="s">
        <v>49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 t="s">
        <v>312</v>
      </c>
      <c r="K56" t="s">
        <v>177</v>
      </c>
      <c r="L56" t="s">
        <v>380</v>
      </c>
      <c r="M56" t="s">
        <v>381</v>
      </c>
      <c r="N56" t="s">
        <v>180</v>
      </c>
      <c r="O56" t="s">
        <v>181</v>
      </c>
      <c r="P56" t="s">
        <v>182</v>
      </c>
      <c r="Q56" t="s">
        <v>362</v>
      </c>
    </row>
    <row r="57" spans="1:17" x14ac:dyDescent="0.25">
      <c r="A57" t="s">
        <v>50</v>
      </c>
      <c r="B57">
        <v>1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 t="s">
        <v>382</v>
      </c>
      <c r="K57" t="s">
        <v>177</v>
      </c>
      <c r="L57" t="s">
        <v>178</v>
      </c>
      <c r="M57" t="s">
        <v>383</v>
      </c>
      <c r="N57" t="s">
        <v>180</v>
      </c>
      <c r="O57" t="s">
        <v>181</v>
      </c>
      <c r="P57" t="s">
        <v>182</v>
      </c>
      <c r="Q57" t="s">
        <v>384</v>
      </c>
    </row>
    <row r="58" spans="1:17" x14ac:dyDescent="0.25">
      <c r="A58" t="s">
        <v>51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 t="s">
        <v>312</v>
      </c>
      <c r="K58" t="s">
        <v>177</v>
      </c>
      <c r="L58" t="s">
        <v>178</v>
      </c>
      <c r="M58" t="s">
        <v>385</v>
      </c>
      <c r="N58" t="s">
        <v>180</v>
      </c>
      <c r="O58" t="s">
        <v>181</v>
      </c>
      <c r="P58" t="s">
        <v>182</v>
      </c>
      <c r="Q58" t="s">
        <v>386</v>
      </c>
    </row>
    <row r="59" spans="1:17" x14ac:dyDescent="0.25">
      <c r="A59" t="s">
        <v>52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 t="s">
        <v>312</v>
      </c>
      <c r="K59" t="s">
        <v>177</v>
      </c>
      <c r="L59" t="s">
        <v>178</v>
      </c>
      <c r="M59" t="s">
        <v>387</v>
      </c>
      <c r="N59" t="s">
        <v>180</v>
      </c>
      <c r="O59" t="s">
        <v>181</v>
      </c>
      <c r="P59" t="s">
        <v>182</v>
      </c>
      <c r="Q59" t="s">
        <v>388</v>
      </c>
    </row>
    <row r="60" spans="1:17" x14ac:dyDescent="0.25">
      <c r="A60" t="s">
        <v>53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234</v>
      </c>
      <c r="K60" t="s">
        <v>177</v>
      </c>
      <c r="L60" t="s">
        <v>178</v>
      </c>
      <c r="M60" t="s">
        <v>389</v>
      </c>
      <c r="N60" t="s">
        <v>180</v>
      </c>
      <c r="O60" t="s">
        <v>181</v>
      </c>
      <c r="P60" t="s">
        <v>182</v>
      </c>
      <c r="Q60" t="s">
        <v>362</v>
      </c>
    </row>
    <row r="61" spans="1:17" x14ac:dyDescent="0.25">
      <c r="A61" t="s">
        <v>54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 t="s">
        <v>390</v>
      </c>
      <c r="K61" t="s">
        <v>177</v>
      </c>
      <c r="L61" t="s">
        <v>178</v>
      </c>
      <c r="M61" t="s">
        <v>391</v>
      </c>
      <c r="N61" t="s">
        <v>180</v>
      </c>
      <c r="O61" t="s">
        <v>181</v>
      </c>
      <c r="P61" t="s">
        <v>182</v>
      </c>
      <c r="Q61" t="s">
        <v>392</v>
      </c>
    </row>
    <row r="62" spans="1:17" x14ac:dyDescent="0.25">
      <c r="A62" t="s">
        <v>55</v>
      </c>
      <c r="B62">
        <v>1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1</v>
      </c>
      <c r="J62" t="s">
        <v>393</v>
      </c>
      <c r="K62" t="s">
        <v>177</v>
      </c>
      <c r="L62" t="s">
        <v>178</v>
      </c>
      <c r="M62" t="s">
        <v>394</v>
      </c>
      <c r="N62" t="s">
        <v>180</v>
      </c>
      <c r="O62" t="s">
        <v>181</v>
      </c>
      <c r="P62" t="s">
        <v>356</v>
      </c>
      <c r="Q62" t="s">
        <v>395</v>
      </c>
    </row>
    <row r="63" spans="1:17" x14ac:dyDescent="0.25">
      <c r="A63" t="s">
        <v>56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1</v>
      </c>
      <c r="J63" t="s">
        <v>234</v>
      </c>
      <c r="K63" t="s">
        <v>177</v>
      </c>
      <c r="L63" t="s">
        <v>178</v>
      </c>
      <c r="M63" t="s">
        <v>396</v>
      </c>
      <c r="N63" t="s">
        <v>180</v>
      </c>
      <c r="O63" t="s">
        <v>181</v>
      </c>
      <c r="P63" t="s">
        <v>182</v>
      </c>
      <c r="Q63" t="s">
        <v>397</v>
      </c>
    </row>
    <row r="64" spans="1:17" x14ac:dyDescent="0.25">
      <c r="A64" t="s">
        <v>57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 t="s">
        <v>234</v>
      </c>
      <c r="K64" t="s">
        <v>177</v>
      </c>
      <c r="L64" t="s">
        <v>178</v>
      </c>
      <c r="M64" t="s">
        <v>398</v>
      </c>
      <c r="N64" t="s">
        <v>180</v>
      </c>
      <c r="O64" t="s">
        <v>181</v>
      </c>
      <c r="P64" t="s">
        <v>356</v>
      </c>
      <c r="Q64" t="s">
        <v>399</v>
      </c>
    </row>
    <row r="65" spans="1:17" x14ac:dyDescent="0.25">
      <c r="A65" t="s">
        <v>58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1</v>
      </c>
      <c r="J65" t="s">
        <v>400</v>
      </c>
      <c r="K65" t="s">
        <v>177</v>
      </c>
      <c r="L65" t="s">
        <v>178</v>
      </c>
      <c r="M65" t="s">
        <v>401</v>
      </c>
      <c r="N65" t="s">
        <v>180</v>
      </c>
      <c r="O65" t="s">
        <v>181</v>
      </c>
      <c r="P65" t="s">
        <v>182</v>
      </c>
      <c r="Q65" t="s">
        <v>402</v>
      </c>
    </row>
    <row r="66" spans="1:17" x14ac:dyDescent="0.25">
      <c r="A66" t="s">
        <v>59</v>
      </c>
      <c r="B66">
        <v>1</v>
      </c>
      <c r="C66">
        <v>0</v>
      </c>
      <c r="D66">
        <v>1</v>
      </c>
      <c r="E66">
        <v>1</v>
      </c>
      <c r="F66">
        <v>0</v>
      </c>
      <c r="G66">
        <v>0</v>
      </c>
      <c r="H66">
        <v>1</v>
      </c>
      <c r="I66">
        <v>1</v>
      </c>
      <c r="J66" t="s">
        <v>403</v>
      </c>
      <c r="K66" t="s">
        <v>177</v>
      </c>
      <c r="L66" t="s">
        <v>404</v>
      </c>
      <c r="M66" t="s">
        <v>405</v>
      </c>
      <c r="N66" t="s">
        <v>180</v>
      </c>
      <c r="O66" t="s">
        <v>181</v>
      </c>
      <c r="P66" t="s">
        <v>406</v>
      </c>
      <c r="Q66" t="s">
        <v>407</v>
      </c>
    </row>
    <row r="67" spans="1:17" x14ac:dyDescent="0.25">
      <c r="A67" t="s">
        <v>60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 t="s">
        <v>312</v>
      </c>
      <c r="K67" t="s">
        <v>177</v>
      </c>
      <c r="L67" t="s">
        <v>178</v>
      </c>
      <c r="M67" t="s">
        <v>408</v>
      </c>
      <c r="N67" t="s">
        <v>180</v>
      </c>
      <c r="O67" t="s">
        <v>181</v>
      </c>
      <c r="P67" t="s">
        <v>182</v>
      </c>
      <c r="Q67" t="s">
        <v>409</v>
      </c>
    </row>
    <row r="68" spans="1:17" x14ac:dyDescent="0.25">
      <c r="A68" t="s">
        <v>61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1</v>
      </c>
      <c r="J68" t="s">
        <v>312</v>
      </c>
      <c r="K68" t="s">
        <v>177</v>
      </c>
      <c r="L68" t="s">
        <v>178</v>
      </c>
      <c r="M68" t="s">
        <v>410</v>
      </c>
      <c r="N68" t="s">
        <v>180</v>
      </c>
      <c r="O68" t="s">
        <v>181</v>
      </c>
      <c r="P68" t="s">
        <v>411</v>
      </c>
      <c r="Q68" t="s">
        <v>412</v>
      </c>
    </row>
    <row r="69" spans="1:17" x14ac:dyDescent="0.25">
      <c r="A69" t="s">
        <v>62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 t="s">
        <v>413</v>
      </c>
      <c r="K69" t="s">
        <v>177</v>
      </c>
      <c r="L69" t="s">
        <v>178</v>
      </c>
      <c r="M69" t="s">
        <v>414</v>
      </c>
      <c r="N69" t="s">
        <v>180</v>
      </c>
      <c r="O69" t="s">
        <v>181</v>
      </c>
      <c r="P69" t="s">
        <v>411</v>
      </c>
      <c r="Q69" t="s">
        <v>415</v>
      </c>
    </row>
    <row r="70" spans="1:17" x14ac:dyDescent="0.25">
      <c r="A70" t="s">
        <v>63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1</v>
      </c>
      <c r="J70" t="s">
        <v>416</v>
      </c>
      <c r="K70" t="s">
        <v>177</v>
      </c>
      <c r="L70" t="s">
        <v>178</v>
      </c>
      <c r="M70" t="s">
        <v>417</v>
      </c>
      <c r="N70" t="s">
        <v>180</v>
      </c>
      <c r="O70" t="s">
        <v>181</v>
      </c>
      <c r="P70" t="s">
        <v>418</v>
      </c>
      <c r="Q70" t="s">
        <v>419</v>
      </c>
    </row>
    <row r="71" spans="1:17" x14ac:dyDescent="0.25">
      <c r="A71" t="s">
        <v>64</v>
      </c>
      <c r="B71">
        <v>1</v>
      </c>
      <c r="C71">
        <v>1</v>
      </c>
      <c r="D71">
        <v>1</v>
      </c>
      <c r="E71">
        <v>1</v>
      </c>
      <c r="F71">
        <v>0</v>
      </c>
      <c r="G71">
        <v>0</v>
      </c>
      <c r="H71">
        <v>0</v>
      </c>
      <c r="I71">
        <v>1</v>
      </c>
      <c r="J71" t="s">
        <v>420</v>
      </c>
      <c r="K71" t="s">
        <v>421</v>
      </c>
      <c r="L71" t="s">
        <v>422</v>
      </c>
      <c r="M71" t="s">
        <v>423</v>
      </c>
      <c r="N71" t="s">
        <v>180</v>
      </c>
      <c r="O71" t="s">
        <v>181</v>
      </c>
      <c r="P71" t="s">
        <v>182</v>
      </c>
      <c r="Q71" t="s">
        <v>424</v>
      </c>
    </row>
    <row r="72" spans="1:17" x14ac:dyDescent="0.25">
      <c r="A72" t="s">
        <v>65</v>
      </c>
      <c r="B72">
        <v>1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1</v>
      </c>
      <c r="J72" t="s">
        <v>425</v>
      </c>
      <c r="K72" t="s">
        <v>177</v>
      </c>
      <c r="L72" t="s">
        <v>178</v>
      </c>
      <c r="M72" t="s">
        <v>426</v>
      </c>
      <c r="N72" t="s">
        <v>180</v>
      </c>
      <c r="O72" t="s">
        <v>181</v>
      </c>
      <c r="P72" t="s">
        <v>182</v>
      </c>
      <c r="Q72" t="s">
        <v>427</v>
      </c>
    </row>
    <row r="73" spans="1:17" x14ac:dyDescent="0.25">
      <c r="A73" t="s">
        <v>66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 t="s">
        <v>312</v>
      </c>
      <c r="K73" t="s">
        <v>177</v>
      </c>
      <c r="L73" t="s">
        <v>178</v>
      </c>
      <c r="M73" t="s">
        <v>428</v>
      </c>
      <c r="N73" t="s">
        <v>180</v>
      </c>
      <c r="O73" t="s">
        <v>181</v>
      </c>
      <c r="P73" t="s">
        <v>182</v>
      </c>
      <c r="Q73" t="s">
        <v>429</v>
      </c>
    </row>
    <row r="74" spans="1:17" x14ac:dyDescent="0.25">
      <c r="A74" t="s">
        <v>292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 t="s">
        <v>430</v>
      </c>
      <c r="K74" t="s">
        <v>177</v>
      </c>
      <c r="L74" t="s">
        <v>178</v>
      </c>
      <c r="M74" t="s">
        <v>431</v>
      </c>
      <c r="N74" t="s">
        <v>180</v>
      </c>
      <c r="O74" t="s">
        <v>181</v>
      </c>
      <c r="P74" t="s">
        <v>182</v>
      </c>
      <c r="Q74" t="s">
        <v>362</v>
      </c>
    </row>
    <row r="75" spans="1:17" x14ac:dyDescent="0.25">
      <c r="A75" t="s">
        <v>67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 t="s">
        <v>312</v>
      </c>
      <c r="K75" t="s">
        <v>177</v>
      </c>
      <c r="L75" t="s">
        <v>178</v>
      </c>
      <c r="M75" t="s">
        <v>432</v>
      </c>
      <c r="N75" t="s">
        <v>180</v>
      </c>
      <c r="O75" t="s">
        <v>181</v>
      </c>
      <c r="P75" t="s">
        <v>182</v>
      </c>
      <c r="Q75" t="s">
        <v>362</v>
      </c>
    </row>
    <row r="76" spans="1:17" x14ac:dyDescent="0.25">
      <c r="A76" t="s">
        <v>68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 t="s">
        <v>312</v>
      </c>
      <c r="K76" t="s">
        <v>177</v>
      </c>
      <c r="L76" t="s">
        <v>178</v>
      </c>
      <c r="M76" t="s">
        <v>433</v>
      </c>
      <c r="N76" t="s">
        <v>180</v>
      </c>
      <c r="O76" t="s">
        <v>181</v>
      </c>
      <c r="P76" t="s">
        <v>434</v>
      </c>
      <c r="Q76" t="s">
        <v>435</v>
      </c>
    </row>
    <row r="77" spans="1:17" x14ac:dyDescent="0.25">
      <c r="A77" t="s">
        <v>69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 t="s">
        <v>312</v>
      </c>
      <c r="K77" t="s">
        <v>177</v>
      </c>
      <c r="L77" t="s">
        <v>178</v>
      </c>
      <c r="M77" t="s">
        <v>436</v>
      </c>
      <c r="N77" t="s">
        <v>180</v>
      </c>
      <c r="O77" t="s">
        <v>181</v>
      </c>
      <c r="P77" t="s">
        <v>356</v>
      </c>
      <c r="Q77" t="s">
        <v>362</v>
      </c>
    </row>
    <row r="78" spans="1:17" x14ac:dyDescent="0.25">
      <c r="A78" t="s">
        <v>70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 t="s">
        <v>312</v>
      </c>
      <c r="K78" t="s">
        <v>177</v>
      </c>
      <c r="L78" t="s">
        <v>178</v>
      </c>
      <c r="M78" t="s">
        <v>437</v>
      </c>
      <c r="N78" t="s">
        <v>180</v>
      </c>
      <c r="O78" t="s">
        <v>181</v>
      </c>
      <c r="P78" t="s">
        <v>182</v>
      </c>
      <c r="Q78" t="s">
        <v>362</v>
      </c>
    </row>
    <row r="79" spans="1:17" x14ac:dyDescent="0.25">
      <c r="A79" t="s">
        <v>71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  <c r="J79" t="s">
        <v>312</v>
      </c>
      <c r="K79" t="s">
        <v>438</v>
      </c>
      <c r="L79" t="s">
        <v>178</v>
      </c>
      <c r="M79" t="s">
        <v>414</v>
      </c>
      <c r="N79" t="s">
        <v>180</v>
      </c>
      <c r="O79" t="s">
        <v>181</v>
      </c>
      <c r="P79" t="s">
        <v>439</v>
      </c>
      <c r="Q79" t="s">
        <v>440</v>
      </c>
    </row>
    <row r="80" spans="1:17" x14ac:dyDescent="0.25">
      <c r="A80" t="s">
        <v>72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 t="s">
        <v>441</v>
      </c>
      <c r="K80" t="s">
        <v>177</v>
      </c>
      <c r="L80" t="s">
        <v>178</v>
      </c>
      <c r="M80" t="s">
        <v>414</v>
      </c>
      <c r="N80" t="s">
        <v>180</v>
      </c>
      <c r="O80" t="s">
        <v>181</v>
      </c>
      <c r="P80" t="s">
        <v>182</v>
      </c>
      <c r="Q80" t="s">
        <v>442</v>
      </c>
    </row>
    <row r="81" spans="1:17" x14ac:dyDescent="0.25">
      <c r="A81" t="s">
        <v>73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1</v>
      </c>
      <c r="J81" t="s">
        <v>443</v>
      </c>
      <c r="K81" t="s">
        <v>177</v>
      </c>
      <c r="L81" t="s">
        <v>178</v>
      </c>
      <c r="M81" t="s">
        <v>444</v>
      </c>
      <c r="N81" t="s">
        <v>180</v>
      </c>
      <c r="O81" t="s">
        <v>181</v>
      </c>
      <c r="P81" t="s">
        <v>182</v>
      </c>
      <c r="Q81" t="s">
        <v>445</v>
      </c>
    </row>
    <row r="82" spans="1:17" x14ac:dyDescent="0.25">
      <c r="A82" t="s">
        <v>74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1</v>
      </c>
      <c r="J82" t="s">
        <v>312</v>
      </c>
      <c r="K82" t="s">
        <v>177</v>
      </c>
      <c r="L82" t="s">
        <v>178</v>
      </c>
      <c r="M82" t="s">
        <v>446</v>
      </c>
      <c r="N82" t="s">
        <v>180</v>
      </c>
      <c r="O82" t="s">
        <v>181</v>
      </c>
      <c r="P82" t="s">
        <v>182</v>
      </c>
      <c r="Q82" t="s">
        <v>447</v>
      </c>
    </row>
    <row r="83" spans="1:17" x14ac:dyDescent="0.25">
      <c r="A83" t="s">
        <v>75</v>
      </c>
      <c r="B83">
        <v>0</v>
      </c>
      <c r="C83">
        <v>0</v>
      </c>
      <c r="D83">
        <v>1</v>
      </c>
      <c r="E83">
        <v>1</v>
      </c>
      <c r="F83">
        <v>0</v>
      </c>
      <c r="G83">
        <v>0</v>
      </c>
      <c r="H83">
        <v>1</v>
      </c>
      <c r="I83">
        <v>1</v>
      </c>
      <c r="J83" t="s">
        <v>312</v>
      </c>
      <c r="K83" t="s">
        <v>177</v>
      </c>
      <c r="L83" t="s">
        <v>448</v>
      </c>
      <c r="M83" t="s">
        <v>449</v>
      </c>
      <c r="N83" t="s">
        <v>180</v>
      </c>
      <c r="O83" t="s">
        <v>181</v>
      </c>
      <c r="P83" t="s">
        <v>450</v>
      </c>
      <c r="Q83" t="s">
        <v>451</v>
      </c>
    </row>
    <row r="84" spans="1:17" x14ac:dyDescent="0.25">
      <c r="A84" t="s">
        <v>76</v>
      </c>
      <c r="B84">
        <v>0</v>
      </c>
      <c r="C84">
        <v>0</v>
      </c>
      <c r="D84">
        <v>0</v>
      </c>
      <c r="E84">
        <v>1</v>
      </c>
      <c r="F84">
        <v>0</v>
      </c>
      <c r="G84">
        <v>1</v>
      </c>
      <c r="H84">
        <v>0</v>
      </c>
      <c r="I84">
        <v>1</v>
      </c>
      <c r="J84" t="s">
        <v>312</v>
      </c>
      <c r="K84" t="s">
        <v>177</v>
      </c>
      <c r="L84" t="s">
        <v>178</v>
      </c>
      <c r="M84" t="s">
        <v>452</v>
      </c>
      <c r="N84" t="s">
        <v>180</v>
      </c>
      <c r="O84" t="s">
        <v>453</v>
      </c>
      <c r="P84" t="s">
        <v>182</v>
      </c>
      <c r="Q84" t="s">
        <v>454</v>
      </c>
    </row>
    <row r="85" spans="1:17" x14ac:dyDescent="0.25">
      <c r="A85" t="s">
        <v>77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1</v>
      </c>
      <c r="J85" t="s">
        <v>312</v>
      </c>
      <c r="K85" t="s">
        <v>177</v>
      </c>
      <c r="L85" t="s">
        <v>178</v>
      </c>
      <c r="M85" t="s">
        <v>455</v>
      </c>
      <c r="N85" t="s">
        <v>180</v>
      </c>
      <c r="O85" t="s">
        <v>181</v>
      </c>
      <c r="P85" t="s">
        <v>182</v>
      </c>
      <c r="Q85" t="s">
        <v>456</v>
      </c>
    </row>
    <row r="86" spans="1:17" x14ac:dyDescent="0.25">
      <c r="A86" t="s">
        <v>78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 t="s">
        <v>312</v>
      </c>
      <c r="K86" t="s">
        <v>177</v>
      </c>
      <c r="L86" t="s">
        <v>178</v>
      </c>
      <c r="M86" t="s">
        <v>457</v>
      </c>
      <c r="N86" t="s">
        <v>180</v>
      </c>
      <c r="O86" t="s">
        <v>181</v>
      </c>
      <c r="P86" t="s">
        <v>182</v>
      </c>
      <c r="Q86" t="s">
        <v>458</v>
      </c>
    </row>
    <row r="87" spans="1:17" x14ac:dyDescent="0.25">
      <c r="A87" t="s">
        <v>79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 t="s">
        <v>312</v>
      </c>
      <c r="K87" t="s">
        <v>177</v>
      </c>
      <c r="L87" t="s">
        <v>178</v>
      </c>
      <c r="M87" t="s">
        <v>414</v>
      </c>
      <c r="N87" t="s">
        <v>180</v>
      </c>
      <c r="O87" t="s">
        <v>181</v>
      </c>
      <c r="P87" t="s">
        <v>182</v>
      </c>
      <c r="Q87" t="s">
        <v>459</v>
      </c>
    </row>
    <row r="88" spans="1:17" x14ac:dyDescent="0.25">
      <c r="A88" t="s">
        <v>80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 t="s">
        <v>312</v>
      </c>
      <c r="K88" t="s">
        <v>177</v>
      </c>
      <c r="L88" t="s">
        <v>178</v>
      </c>
      <c r="M88" t="s">
        <v>460</v>
      </c>
      <c r="N88" t="s">
        <v>180</v>
      </c>
      <c r="O88" t="s">
        <v>181</v>
      </c>
      <c r="P88" t="s">
        <v>182</v>
      </c>
      <c r="Q88" t="s">
        <v>461</v>
      </c>
    </row>
    <row r="89" spans="1:17" x14ac:dyDescent="0.25">
      <c r="A89" t="s">
        <v>81</v>
      </c>
      <c r="B89">
        <v>1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1</v>
      </c>
      <c r="J89" t="s">
        <v>462</v>
      </c>
      <c r="K89" t="s">
        <v>463</v>
      </c>
      <c r="L89" t="s">
        <v>464</v>
      </c>
      <c r="M89" t="s">
        <v>465</v>
      </c>
      <c r="N89" t="s">
        <v>180</v>
      </c>
      <c r="O89" t="s">
        <v>181</v>
      </c>
      <c r="P89" t="s">
        <v>182</v>
      </c>
      <c r="Q89" t="s">
        <v>466</v>
      </c>
    </row>
    <row r="90" spans="1:17" x14ac:dyDescent="0.25">
      <c r="A90" t="s">
        <v>82</v>
      </c>
      <c r="B90">
        <v>1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  <c r="J90" t="s">
        <v>467</v>
      </c>
      <c r="K90" t="s">
        <v>177</v>
      </c>
      <c r="L90" t="s">
        <v>468</v>
      </c>
      <c r="M90" t="s">
        <v>414</v>
      </c>
      <c r="N90" t="s">
        <v>180</v>
      </c>
      <c r="O90" t="s">
        <v>181</v>
      </c>
      <c r="P90" t="s">
        <v>182</v>
      </c>
      <c r="Q90" t="s">
        <v>469</v>
      </c>
    </row>
    <row r="91" spans="1:17" x14ac:dyDescent="0.25">
      <c r="A91" t="s">
        <v>83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470</v>
      </c>
      <c r="K91" t="s">
        <v>177</v>
      </c>
      <c r="L91" t="s">
        <v>178</v>
      </c>
      <c r="M91" t="s">
        <v>471</v>
      </c>
      <c r="N91" t="s">
        <v>180</v>
      </c>
      <c r="O91" t="s">
        <v>181</v>
      </c>
      <c r="P91" t="s">
        <v>182</v>
      </c>
      <c r="Q91" t="s">
        <v>472</v>
      </c>
    </row>
    <row r="92" spans="1:17" x14ac:dyDescent="0.25">
      <c r="A92" t="s">
        <v>84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 t="s">
        <v>234</v>
      </c>
      <c r="K92" t="s">
        <v>177</v>
      </c>
      <c r="L92" t="s">
        <v>178</v>
      </c>
      <c r="M92" t="s">
        <v>473</v>
      </c>
      <c r="N92" t="s">
        <v>180</v>
      </c>
      <c r="O92" t="s">
        <v>181</v>
      </c>
      <c r="P92" t="s">
        <v>182</v>
      </c>
      <c r="Q92" t="s">
        <v>474</v>
      </c>
    </row>
    <row r="93" spans="1:17" x14ac:dyDescent="0.25">
      <c r="A93" t="s">
        <v>85</v>
      </c>
      <c r="B93">
        <v>0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 t="s">
        <v>312</v>
      </c>
      <c r="K93" t="s">
        <v>177</v>
      </c>
      <c r="L93" t="s">
        <v>178</v>
      </c>
      <c r="M93" t="s">
        <v>475</v>
      </c>
      <c r="N93" t="s">
        <v>180</v>
      </c>
      <c r="O93" t="s">
        <v>181</v>
      </c>
      <c r="P93" t="s">
        <v>182</v>
      </c>
      <c r="Q93" t="s">
        <v>476</v>
      </c>
    </row>
    <row r="94" spans="1:17" x14ac:dyDescent="0.25">
      <c r="A94" t="s">
        <v>86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234</v>
      </c>
      <c r="K94" t="s">
        <v>177</v>
      </c>
      <c r="L94" t="s">
        <v>178</v>
      </c>
      <c r="M94" t="s">
        <v>477</v>
      </c>
      <c r="N94" t="s">
        <v>180</v>
      </c>
      <c r="O94" t="s">
        <v>181</v>
      </c>
      <c r="P94" t="s">
        <v>182</v>
      </c>
      <c r="Q94" t="s">
        <v>478</v>
      </c>
    </row>
    <row r="95" spans="1:17" x14ac:dyDescent="0.25">
      <c r="A95" t="s">
        <v>87</v>
      </c>
      <c r="B95">
        <v>1</v>
      </c>
      <c r="C95">
        <v>0</v>
      </c>
      <c r="D95">
        <v>1</v>
      </c>
      <c r="E95">
        <v>1</v>
      </c>
      <c r="F95">
        <v>0</v>
      </c>
      <c r="G95">
        <v>0</v>
      </c>
      <c r="H95">
        <v>0</v>
      </c>
      <c r="I95">
        <v>1</v>
      </c>
      <c r="J95" t="s">
        <v>479</v>
      </c>
      <c r="K95" t="s">
        <v>177</v>
      </c>
      <c r="L95" t="s">
        <v>480</v>
      </c>
      <c r="M95" t="s">
        <v>481</v>
      </c>
      <c r="N95" t="s">
        <v>180</v>
      </c>
      <c r="O95" t="s">
        <v>181</v>
      </c>
      <c r="P95" t="s">
        <v>182</v>
      </c>
      <c r="Q95" t="s">
        <v>482</v>
      </c>
    </row>
    <row r="96" spans="1:17" x14ac:dyDescent="0.25">
      <c r="A96" t="s">
        <v>88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 t="s">
        <v>312</v>
      </c>
      <c r="K96" t="s">
        <v>177</v>
      </c>
      <c r="L96" t="s">
        <v>178</v>
      </c>
      <c r="M96" t="s">
        <v>483</v>
      </c>
      <c r="N96" t="s">
        <v>180</v>
      </c>
      <c r="O96" t="s">
        <v>181</v>
      </c>
      <c r="P96" t="s">
        <v>182</v>
      </c>
      <c r="Q96" t="s">
        <v>484</v>
      </c>
    </row>
    <row r="97" spans="1:17" x14ac:dyDescent="0.25">
      <c r="A97" t="s">
        <v>89</v>
      </c>
      <c r="B97">
        <v>0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1</v>
      </c>
      <c r="J97" t="s">
        <v>312</v>
      </c>
      <c r="K97" t="s">
        <v>177</v>
      </c>
      <c r="L97" t="s">
        <v>178</v>
      </c>
      <c r="M97" t="s">
        <v>485</v>
      </c>
      <c r="N97" t="s">
        <v>180</v>
      </c>
      <c r="O97" t="s">
        <v>181</v>
      </c>
      <c r="P97" t="s">
        <v>182</v>
      </c>
      <c r="Q97" t="s">
        <v>486</v>
      </c>
    </row>
    <row r="98" spans="1:17" x14ac:dyDescent="0.25">
      <c r="A98" t="s">
        <v>293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487</v>
      </c>
      <c r="K98" t="s">
        <v>177</v>
      </c>
      <c r="L98" t="s">
        <v>178</v>
      </c>
      <c r="M98" t="s">
        <v>414</v>
      </c>
      <c r="N98" t="s">
        <v>180</v>
      </c>
      <c r="O98" t="s">
        <v>181</v>
      </c>
      <c r="P98" t="s">
        <v>182</v>
      </c>
      <c r="Q98" t="s">
        <v>488</v>
      </c>
    </row>
    <row r="99" spans="1:17" x14ac:dyDescent="0.25">
      <c r="A99" t="s">
        <v>90</v>
      </c>
      <c r="B99">
        <v>1</v>
      </c>
      <c r="C99">
        <v>0</v>
      </c>
      <c r="D99">
        <v>0</v>
      </c>
      <c r="E99">
        <v>1</v>
      </c>
      <c r="F99">
        <v>1</v>
      </c>
      <c r="G99">
        <v>1</v>
      </c>
      <c r="H99">
        <v>1</v>
      </c>
      <c r="I99">
        <v>1</v>
      </c>
      <c r="J99" t="s">
        <v>489</v>
      </c>
      <c r="K99" t="s">
        <v>177</v>
      </c>
      <c r="L99" t="s">
        <v>178</v>
      </c>
      <c r="M99" t="s">
        <v>490</v>
      </c>
      <c r="N99" t="s">
        <v>491</v>
      </c>
      <c r="O99" t="s">
        <v>492</v>
      </c>
      <c r="P99" t="s">
        <v>493</v>
      </c>
      <c r="Q99" t="s">
        <v>494</v>
      </c>
    </row>
    <row r="100" spans="1:17" x14ac:dyDescent="0.25">
      <c r="A100" t="s">
        <v>91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 t="s">
        <v>495</v>
      </c>
      <c r="K100" t="s">
        <v>177</v>
      </c>
      <c r="L100" t="s">
        <v>178</v>
      </c>
      <c r="M100" t="s">
        <v>414</v>
      </c>
      <c r="N100" t="s">
        <v>180</v>
      </c>
      <c r="O100" t="s">
        <v>181</v>
      </c>
      <c r="P100" t="s">
        <v>182</v>
      </c>
      <c r="Q100" t="s">
        <v>496</v>
      </c>
    </row>
    <row r="101" spans="1:17" x14ac:dyDescent="0.25">
      <c r="A101" t="s">
        <v>92</v>
      </c>
      <c r="B101">
        <v>1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1</v>
      </c>
      <c r="I101">
        <v>1</v>
      </c>
      <c r="J101" t="s">
        <v>497</v>
      </c>
      <c r="K101" t="s">
        <v>177</v>
      </c>
      <c r="L101" t="s">
        <v>498</v>
      </c>
      <c r="M101" t="s">
        <v>499</v>
      </c>
      <c r="N101" t="s">
        <v>180</v>
      </c>
      <c r="O101" t="s">
        <v>181</v>
      </c>
      <c r="P101" t="s">
        <v>500</v>
      </c>
      <c r="Q101" t="s">
        <v>501</v>
      </c>
    </row>
    <row r="102" spans="1:17" x14ac:dyDescent="0.25">
      <c r="A102" t="s">
        <v>93</v>
      </c>
      <c r="B102">
        <v>1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 t="s">
        <v>502</v>
      </c>
      <c r="K102" t="s">
        <v>177</v>
      </c>
      <c r="L102" t="s">
        <v>178</v>
      </c>
      <c r="M102" t="s">
        <v>503</v>
      </c>
      <c r="N102" t="s">
        <v>180</v>
      </c>
      <c r="O102" t="s">
        <v>181</v>
      </c>
      <c r="P102" t="s">
        <v>182</v>
      </c>
      <c r="Q102" t="s">
        <v>472</v>
      </c>
    </row>
    <row r="103" spans="1:17" x14ac:dyDescent="0.25">
      <c r="A103" t="s">
        <v>94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 t="s">
        <v>312</v>
      </c>
      <c r="K103" t="s">
        <v>177</v>
      </c>
      <c r="L103" t="s">
        <v>178</v>
      </c>
      <c r="M103" t="s">
        <v>504</v>
      </c>
      <c r="N103" t="s">
        <v>180</v>
      </c>
      <c r="O103" t="s">
        <v>181</v>
      </c>
      <c r="P103" t="s">
        <v>182</v>
      </c>
      <c r="Q103" t="s">
        <v>505</v>
      </c>
    </row>
    <row r="104" spans="1:17" x14ac:dyDescent="0.25">
      <c r="A104" t="s">
        <v>95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 t="s">
        <v>312</v>
      </c>
      <c r="K104" t="s">
        <v>177</v>
      </c>
      <c r="L104" t="s">
        <v>178</v>
      </c>
      <c r="M104" t="s">
        <v>506</v>
      </c>
      <c r="N104" t="s">
        <v>180</v>
      </c>
      <c r="O104" t="s">
        <v>181</v>
      </c>
      <c r="P104" t="s">
        <v>507</v>
      </c>
      <c r="Q104" t="s">
        <v>508</v>
      </c>
    </row>
    <row r="105" spans="1:17" x14ac:dyDescent="0.25">
      <c r="A105" t="s">
        <v>96</v>
      </c>
      <c r="B105">
        <v>1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1</v>
      </c>
      <c r="I105">
        <v>1</v>
      </c>
      <c r="J105" t="s">
        <v>509</v>
      </c>
      <c r="K105" t="s">
        <v>177</v>
      </c>
      <c r="L105" t="s">
        <v>510</v>
      </c>
      <c r="M105" t="s">
        <v>511</v>
      </c>
      <c r="N105" t="s">
        <v>180</v>
      </c>
      <c r="O105" t="s">
        <v>181</v>
      </c>
      <c r="P105" t="s">
        <v>512</v>
      </c>
      <c r="Q105" t="s">
        <v>513</v>
      </c>
    </row>
    <row r="106" spans="1:17" x14ac:dyDescent="0.25">
      <c r="A106" t="s">
        <v>97</v>
      </c>
      <c r="B106">
        <v>1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1</v>
      </c>
      <c r="I106">
        <v>1</v>
      </c>
      <c r="J106" t="s">
        <v>514</v>
      </c>
      <c r="K106" t="s">
        <v>177</v>
      </c>
      <c r="L106" t="s">
        <v>178</v>
      </c>
      <c r="M106" t="s">
        <v>515</v>
      </c>
      <c r="N106" t="s">
        <v>180</v>
      </c>
      <c r="O106" t="s">
        <v>181</v>
      </c>
      <c r="P106" t="s">
        <v>516</v>
      </c>
      <c r="Q106" t="s">
        <v>517</v>
      </c>
    </row>
    <row r="107" spans="1:17" x14ac:dyDescent="0.25">
      <c r="A107" t="s">
        <v>98</v>
      </c>
      <c r="B107">
        <v>0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1</v>
      </c>
      <c r="J107" t="s">
        <v>312</v>
      </c>
      <c r="K107" t="s">
        <v>518</v>
      </c>
      <c r="L107" t="s">
        <v>178</v>
      </c>
      <c r="M107" t="s">
        <v>519</v>
      </c>
      <c r="N107" t="s">
        <v>180</v>
      </c>
      <c r="O107" t="s">
        <v>181</v>
      </c>
      <c r="P107" t="s">
        <v>182</v>
      </c>
      <c r="Q107" t="s">
        <v>520</v>
      </c>
    </row>
    <row r="108" spans="1:17" x14ac:dyDescent="0.25">
      <c r="A108" t="s">
        <v>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312</v>
      </c>
      <c r="K108" t="s">
        <v>177</v>
      </c>
      <c r="L108" t="s">
        <v>178</v>
      </c>
      <c r="M108" t="s">
        <v>521</v>
      </c>
      <c r="N108" t="s">
        <v>180</v>
      </c>
      <c r="O108" t="s">
        <v>181</v>
      </c>
      <c r="P108" t="s">
        <v>182</v>
      </c>
      <c r="Q108" t="s">
        <v>472</v>
      </c>
    </row>
    <row r="109" spans="1:17" x14ac:dyDescent="0.25">
      <c r="A109" t="s">
        <v>100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1</v>
      </c>
      <c r="J109" t="s">
        <v>312</v>
      </c>
      <c r="K109" t="s">
        <v>177</v>
      </c>
      <c r="L109" t="s">
        <v>178</v>
      </c>
      <c r="M109" t="s">
        <v>656</v>
      </c>
      <c r="N109" t="s">
        <v>180</v>
      </c>
      <c r="O109" t="s">
        <v>181</v>
      </c>
      <c r="P109" t="s">
        <v>182</v>
      </c>
      <c r="Q109" t="s">
        <v>657</v>
      </c>
    </row>
    <row r="110" spans="1:17" x14ac:dyDescent="0.25">
      <c r="A110" t="s">
        <v>101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1</v>
      </c>
      <c r="J110" t="s">
        <v>234</v>
      </c>
      <c r="K110" t="s">
        <v>177</v>
      </c>
      <c r="L110" t="s">
        <v>178</v>
      </c>
      <c r="M110" t="s">
        <v>522</v>
      </c>
      <c r="N110" t="s">
        <v>180</v>
      </c>
      <c r="O110" t="s">
        <v>181</v>
      </c>
      <c r="P110" t="s">
        <v>523</v>
      </c>
      <c r="Q110" t="s">
        <v>524</v>
      </c>
    </row>
    <row r="111" spans="1:17" x14ac:dyDescent="0.25">
      <c r="A111" t="s">
        <v>102</v>
      </c>
      <c r="B111">
        <v>1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1</v>
      </c>
      <c r="I111">
        <v>0</v>
      </c>
      <c r="J111" t="s">
        <v>525</v>
      </c>
      <c r="K111" t="s">
        <v>177</v>
      </c>
      <c r="L111" t="s">
        <v>178</v>
      </c>
      <c r="M111" t="s">
        <v>526</v>
      </c>
      <c r="N111" t="s">
        <v>180</v>
      </c>
      <c r="O111" t="s">
        <v>181</v>
      </c>
      <c r="P111" t="s">
        <v>527</v>
      </c>
      <c r="Q111" t="s">
        <v>472</v>
      </c>
    </row>
    <row r="112" spans="1:17" x14ac:dyDescent="0.25">
      <c r="A112" t="s">
        <v>103</v>
      </c>
      <c r="B112">
        <v>0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 t="s">
        <v>312</v>
      </c>
      <c r="K112" t="s">
        <v>177</v>
      </c>
      <c r="L112" t="s">
        <v>528</v>
      </c>
      <c r="M112" t="s">
        <v>529</v>
      </c>
      <c r="N112" t="s">
        <v>180</v>
      </c>
      <c r="O112" t="s">
        <v>181</v>
      </c>
      <c r="P112" t="s">
        <v>182</v>
      </c>
      <c r="Q112" t="s">
        <v>472</v>
      </c>
    </row>
    <row r="113" spans="1:17" x14ac:dyDescent="0.25">
      <c r="A113" t="s">
        <v>104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 t="s">
        <v>530</v>
      </c>
      <c r="K113" t="s">
        <v>177</v>
      </c>
      <c r="L113" t="s">
        <v>178</v>
      </c>
      <c r="M113" t="s">
        <v>531</v>
      </c>
      <c r="N113" t="s">
        <v>180</v>
      </c>
      <c r="O113" t="s">
        <v>181</v>
      </c>
      <c r="P113" t="s">
        <v>182</v>
      </c>
      <c r="Q113" t="s">
        <v>472</v>
      </c>
    </row>
    <row r="114" spans="1:17" x14ac:dyDescent="0.25">
      <c r="A114" t="s">
        <v>105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1</v>
      </c>
      <c r="I114">
        <v>0</v>
      </c>
      <c r="J114" t="s">
        <v>312</v>
      </c>
      <c r="K114" t="s">
        <v>177</v>
      </c>
      <c r="L114" t="s">
        <v>532</v>
      </c>
      <c r="M114" t="s">
        <v>414</v>
      </c>
      <c r="N114" t="s">
        <v>180</v>
      </c>
      <c r="O114" t="s">
        <v>181</v>
      </c>
      <c r="P114" t="s">
        <v>533</v>
      </c>
      <c r="Q114" t="s">
        <v>472</v>
      </c>
    </row>
    <row r="115" spans="1:17" x14ac:dyDescent="0.25">
      <c r="A115" t="s">
        <v>106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1</v>
      </c>
      <c r="J115" t="s">
        <v>312</v>
      </c>
      <c r="K115" t="s">
        <v>177</v>
      </c>
      <c r="L115" t="s">
        <v>178</v>
      </c>
      <c r="M115" t="s">
        <v>534</v>
      </c>
      <c r="N115" t="s">
        <v>180</v>
      </c>
      <c r="O115" t="s">
        <v>181</v>
      </c>
      <c r="P115" t="s">
        <v>182</v>
      </c>
      <c r="Q115" t="s">
        <v>535</v>
      </c>
    </row>
    <row r="116" spans="1:17" x14ac:dyDescent="0.25">
      <c r="A116" t="s">
        <v>107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1</v>
      </c>
      <c r="J116" t="s">
        <v>312</v>
      </c>
      <c r="K116" t="s">
        <v>177</v>
      </c>
      <c r="L116" t="s">
        <v>178</v>
      </c>
      <c r="M116" t="s">
        <v>536</v>
      </c>
      <c r="N116" t="s">
        <v>180</v>
      </c>
      <c r="O116" t="s">
        <v>181</v>
      </c>
      <c r="P116" t="s">
        <v>182</v>
      </c>
      <c r="Q116" t="s">
        <v>537</v>
      </c>
    </row>
    <row r="117" spans="1:17" x14ac:dyDescent="0.25">
      <c r="A117" t="s">
        <v>108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 t="s">
        <v>312</v>
      </c>
      <c r="K117" t="s">
        <v>177</v>
      </c>
      <c r="L117" t="s">
        <v>178</v>
      </c>
      <c r="M117" t="s">
        <v>538</v>
      </c>
      <c r="N117" t="s">
        <v>180</v>
      </c>
      <c r="O117" t="s">
        <v>181</v>
      </c>
      <c r="P117" t="s">
        <v>182</v>
      </c>
      <c r="Q117" t="s">
        <v>539</v>
      </c>
    </row>
    <row r="118" spans="1:17" x14ac:dyDescent="0.25">
      <c r="A118" t="s">
        <v>109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 t="s">
        <v>312</v>
      </c>
      <c r="K118" t="s">
        <v>177</v>
      </c>
      <c r="L118" t="s">
        <v>178</v>
      </c>
      <c r="M118" t="s">
        <v>540</v>
      </c>
      <c r="N118" t="s">
        <v>180</v>
      </c>
      <c r="O118" t="s">
        <v>181</v>
      </c>
      <c r="P118" t="s">
        <v>182</v>
      </c>
      <c r="Q118" t="s">
        <v>541</v>
      </c>
    </row>
    <row r="119" spans="1:17" x14ac:dyDescent="0.25">
      <c r="A119" t="s">
        <v>110</v>
      </c>
      <c r="B119">
        <v>1</v>
      </c>
      <c r="C119">
        <v>1</v>
      </c>
      <c r="D119">
        <v>0</v>
      </c>
      <c r="E119">
        <v>1</v>
      </c>
      <c r="F119">
        <v>0</v>
      </c>
      <c r="G119">
        <v>0</v>
      </c>
      <c r="H119">
        <v>1</v>
      </c>
      <c r="I119">
        <v>1</v>
      </c>
      <c r="J119" t="s">
        <v>542</v>
      </c>
      <c r="K119" t="s">
        <v>543</v>
      </c>
      <c r="L119" t="s">
        <v>178</v>
      </c>
      <c r="M119" t="s">
        <v>544</v>
      </c>
      <c r="N119" t="s">
        <v>545</v>
      </c>
      <c r="O119" t="s">
        <v>181</v>
      </c>
      <c r="P119" t="s">
        <v>546</v>
      </c>
      <c r="Q119" t="s">
        <v>547</v>
      </c>
    </row>
    <row r="120" spans="1:17" x14ac:dyDescent="0.25">
      <c r="A120" t="s">
        <v>111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 t="s">
        <v>548</v>
      </c>
      <c r="K120" t="s">
        <v>177</v>
      </c>
      <c r="L120" t="s">
        <v>178</v>
      </c>
      <c r="M120" t="s">
        <v>549</v>
      </c>
      <c r="N120" t="s">
        <v>180</v>
      </c>
      <c r="O120" t="s">
        <v>181</v>
      </c>
      <c r="P120" t="s">
        <v>182</v>
      </c>
      <c r="Q120" t="s">
        <v>472</v>
      </c>
    </row>
    <row r="121" spans="1:17" x14ac:dyDescent="0.25">
      <c r="A121" t="s">
        <v>112</v>
      </c>
      <c r="B121">
        <v>1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1</v>
      </c>
      <c r="J121" t="s">
        <v>550</v>
      </c>
      <c r="K121" t="s">
        <v>177</v>
      </c>
      <c r="L121" t="s">
        <v>178</v>
      </c>
      <c r="M121" t="s">
        <v>551</v>
      </c>
      <c r="N121" t="s">
        <v>180</v>
      </c>
      <c r="O121" t="s">
        <v>181</v>
      </c>
      <c r="P121" t="s">
        <v>182</v>
      </c>
      <c r="Q121" t="s">
        <v>552</v>
      </c>
    </row>
    <row r="122" spans="1:17" x14ac:dyDescent="0.25">
      <c r="A122" t="s">
        <v>113</v>
      </c>
      <c r="B122">
        <v>1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1</v>
      </c>
      <c r="J122" t="s">
        <v>553</v>
      </c>
      <c r="K122" t="s">
        <v>177</v>
      </c>
      <c r="L122" t="s">
        <v>178</v>
      </c>
      <c r="M122" t="s">
        <v>554</v>
      </c>
      <c r="N122" t="s">
        <v>180</v>
      </c>
      <c r="O122" t="s">
        <v>181</v>
      </c>
      <c r="P122" t="s">
        <v>182</v>
      </c>
      <c r="Q122" t="s">
        <v>555</v>
      </c>
    </row>
    <row r="123" spans="1:17" x14ac:dyDescent="0.25">
      <c r="A123" t="s">
        <v>114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 t="s">
        <v>556</v>
      </c>
      <c r="K123" t="s">
        <v>177</v>
      </c>
      <c r="L123" t="s">
        <v>178</v>
      </c>
      <c r="M123" t="s">
        <v>414</v>
      </c>
      <c r="N123" t="s">
        <v>180</v>
      </c>
      <c r="O123" t="s">
        <v>181</v>
      </c>
      <c r="P123" t="s">
        <v>182</v>
      </c>
      <c r="Q123" t="s">
        <v>557</v>
      </c>
    </row>
    <row r="124" spans="1:17" x14ac:dyDescent="0.25">
      <c r="A124" t="s">
        <v>115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 t="s">
        <v>312</v>
      </c>
      <c r="K124" t="s">
        <v>177</v>
      </c>
      <c r="L124" t="s">
        <v>178</v>
      </c>
      <c r="M124" t="s">
        <v>558</v>
      </c>
      <c r="N124" t="s">
        <v>180</v>
      </c>
      <c r="O124" t="s">
        <v>181</v>
      </c>
      <c r="P124" t="s">
        <v>182</v>
      </c>
      <c r="Q124" t="s">
        <v>559</v>
      </c>
    </row>
    <row r="125" spans="1:17" x14ac:dyDescent="0.25">
      <c r="A125" t="s">
        <v>116</v>
      </c>
      <c r="B125">
        <v>0</v>
      </c>
      <c r="C125">
        <v>1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1</v>
      </c>
      <c r="J125" t="s">
        <v>312</v>
      </c>
      <c r="K125" t="s">
        <v>560</v>
      </c>
      <c r="L125" t="s">
        <v>561</v>
      </c>
      <c r="M125" t="s">
        <v>562</v>
      </c>
      <c r="N125" t="s">
        <v>180</v>
      </c>
      <c r="O125" t="s">
        <v>181</v>
      </c>
      <c r="P125" t="s">
        <v>182</v>
      </c>
      <c r="Q125" t="s">
        <v>563</v>
      </c>
    </row>
    <row r="126" spans="1:17" x14ac:dyDescent="0.25">
      <c r="A126" t="s">
        <v>117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 t="s">
        <v>312</v>
      </c>
      <c r="K126" t="s">
        <v>177</v>
      </c>
      <c r="L126" t="s">
        <v>178</v>
      </c>
      <c r="M126" t="s">
        <v>564</v>
      </c>
      <c r="N126" t="s">
        <v>180</v>
      </c>
      <c r="O126" t="s">
        <v>181</v>
      </c>
      <c r="P126" t="s">
        <v>182</v>
      </c>
      <c r="Q126" t="s">
        <v>565</v>
      </c>
    </row>
    <row r="127" spans="1:17" x14ac:dyDescent="0.25">
      <c r="A127" t="s">
        <v>118</v>
      </c>
      <c r="B127">
        <v>1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1</v>
      </c>
      <c r="J127" t="s">
        <v>566</v>
      </c>
      <c r="K127" t="s">
        <v>177</v>
      </c>
      <c r="L127" t="s">
        <v>178</v>
      </c>
      <c r="M127" t="s">
        <v>567</v>
      </c>
      <c r="N127" t="s">
        <v>180</v>
      </c>
      <c r="O127" t="s">
        <v>181</v>
      </c>
      <c r="P127" t="s">
        <v>182</v>
      </c>
      <c r="Q127" t="s">
        <v>568</v>
      </c>
    </row>
    <row r="128" spans="1:17" x14ac:dyDescent="0.25">
      <c r="A128" t="s">
        <v>119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1</v>
      </c>
      <c r="J128" t="s">
        <v>234</v>
      </c>
      <c r="K128" t="s">
        <v>177</v>
      </c>
      <c r="L128" t="s">
        <v>178</v>
      </c>
      <c r="M128" t="s">
        <v>569</v>
      </c>
      <c r="N128" t="s">
        <v>180</v>
      </c>
      <c r="O128" t="s">
        <v>181</v>
      </c>
      <c r="P128" t="s">
        <v>182</v>
      </c>
      <c r="Q128" t="s">
        <v>570</v>
      </c>
    </row>
    <row r="129" spans="1:17" x14ac:dyDescent="0.25">
      <c r="A129" t="s">
        <v>120</v>
      </c>
      <c r="B129">
        <v>1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1</v>
      </c>
      <c r="J129" t="s">
        <v>571</v>
      </c>
      <c r="K129" t="s">
        <v>177</v>
      </c>
      <c r="L129" t="s">
        <v>178</v>
      </c>
      <c r="M129" t="s">
        <v>572</v>
      </c>
      <c r="N129" t="s">
        <v>180</v>
      </c>
      <c r="O129" t="s">
        <v>181</v>
      </c>
      <c r="P129" t="s">
        <v>182</v>
      </c>
      <c r="Q129" t="s">
        <v>573</v>
      </c>
    </row>
    <row r="130" spans="1:17" x14ac:dyDescent="0.25">
      <c r="A130" t="s">
        <v>121</v>
      </c>
      <c r="B130">
        <v>1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1</v>
      </c>
      <c r="J130" t="s">
        <v>574</v>
      </c>
      <c r="K130" t="s">
        <v>177</v>
      </c>
      <c r="L130" t="s">
        <v>178</v>
      </c>
      <c r="M130" t="s">
        <v>575</v>
      </c>
      <c r="N130" t="s">
        <v>180</v>
      </c>
      <c r="O130" t="s">
        <v>181</v>
      </c>
      <c r="P130" t="s">
        <v>182</v>
      </c>
      <c r="Q130" t="s">
        <v>576</v>
      </c>
    </row>
    <row r="131" spans="1:17" x14ac:dyDescent="0.25">
      <c r="A131" t="s">
        <v>294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 t="s">
        <v>577</v>
      </c>
      <c r="K131" t="s">
        <v>177</v>
      </c>
      <c r="L131" t="s">
        <v>178</v>
      </c>
      <c r="M131" t="s">
        <v>414</v>
      </c>
      <c r="N131" t="s">
        <v>180</v>
      </c>
      <c r="O131" t="s">
        <v>181</v>
      </c>
      <c r="P131" t="s">
        <v>182</v>
      </c>
      <c r="Q131" t="s">
        <v>578</v>
      </c>
    </row>
    <row r="132" spans="1:17" x14ac:dyDescent="0.25">
      <c r="A132" t="s">
        <v>122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1</v>
      </c>
      <c r="J132" t="s">
        <v>579</v>
      </c>
      <c r="K132" t="s">
        <v>177</v>
      </c>
      <c r="L132" t="s">
        <v>580</v>
      </c>
      <c r="M132" t="s">
        <v>581</v>
      </c>
      <c r="N132" t="s">
        <v>180</v>
      </c>
      <c r="O132" t="s">
        <v>181</v>
      </c>
      <c r="P132" t="s">
        <v>582</v>
      </c>
      <c r="Q132" t="s">
        <v>583</v>
      </c>
    </row>
    <row r="133" spans="1:17" x14ac:dyDescent="0.25">
      <c r="A133" t="s">
        <v>123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1</v>
      </c>
      <c r="J133" t="s">
        <v>584</v>
      </c>
      <c r="K133" t="s">
        <v>177</v>
      </c>
      <c r="L133" t="s">
        <v>178</v>
      </c>
      <c r="M133" t="s">
        <v>585</v>
      </c>
      <c r="N133" t="s">
        <v>180</v>
      </c>
      <c r="O133" t="s">
        <v>181</v>
      </c>
      <c r="P133" t="s">
        <v>182</v>
      </c>
      <c r="Q133" t="s">
        <v>586</v>
      </c>
    </row>
    <row r="134" spans="1:17" x14ac:dyDescent="0.25">
      <c r="A134" t="s">
        <v>124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 t="s">
        <v>234</v>
      </c>
      <c r="K134" t="s">
        <v>177</v>
      </c>
      <c r="L134" t="s">
        <v>178</v>
      </c>
      <c r="M134" t="s">
        <v>587</v>
      </c>
      <c r="N134" t="s">
        <v>180</v>
      </c>
      <c r="O134" t="s">
        <v>181</v>
      </c>
      <c r="P134" t="s">
        <v>182</v>
      </c>
      <c r="Q134" t="s">
        <v>559</v>
      </c>
    </row>
    <row r="135" spans="1:17" x14ac:dyDescent="0.25">
      <c r="A135" t="s">
        <v>125</v>
      </c>
      <c r="B135">
        <v>1</v>
      </c>
      <c r="C135">
        <v>0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 t="s">
        <v>588</v>
      </c>
      <c r="K135" t="s">
        <v>177</v>
      </c>
      <c r="L135" t="s">
        <v>589</v>
      </c>
      <c r="M135" t="s">
        <v>590</v>
      </c>
      <c r="N135" t="s">
        <v>180</v>
      </c>
      <c r="O135" t="s">
        <v>591</v>
      </c>
      <c r="P135" t="s">
        <v>182</v>
      </c>
      <c r="Q135" t="s">
        <v>472</v>
      </c>
    </row>
    <row r="136" spans="1:17" x14ac:dyDescent="0.25">
      <c r="A136" t="s">
        <v>126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 t="s">
        <v>592</v>
      </c>
      <c r="K136" t="s">
        <v>177</v>
      </c>
      <c r="L136" t="s">
        <v>178</v>
      </c>
      <c r="M136" t="s">
        <v>593</v>
      </c>
      <c r="N136" t="s">
        <v>180</v>
      </c>
      <c r="O136" t="s">
        <v>181</v>
      </c>
      <c r="P136" t="s">
        <v>182</v>
      </c>
      <c r="Q136" t="s">
        <v>472</v>
      </c>
    </row>
    <row r="137" spans="1:17" x14ac:dyDescent="0.25">
      <c r="A137" t="s">
        <v>127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1</v>
      </c>
      <c r="J137" t="s">
        <v>312</v>
      </c>
      <c r="K137" t="s">
        <v>177</v>
      </c>
      <c r="L137" t="s">
        <v>178</v>
      </c>
      <c r="M137" t="s">
        <v>594</v>
      </c>
      <c r="N137" t="s">
        <v>180</v>
      </c>
      <c r="O137" t="s">
        <v>181</v>
      </c>
      <c r="P137" t="s">
        <v>182</v>
      </c>
      <c r="Q137" t="s">
        <v>595</v>
      </c>
    </row>
    <row r="138" spans="1:17" x14ac:dyDescent="0.25">
      <c r="A138" t="s">
        <v>128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 t="s">
        <v>312</v>
      </c>
      <c r="K138" t="s">
        <v>177</v>
      </c>
      <c r="L138" t="s">
        <v>178</v>
      </c>
      <c r="M138" t="s">
        <v>596</v>
      </c>
      <c r="N138" t="s">
        <v>180</v>
      </c>
      <c r="O138" t="s">
        <v>181</v>
      </c>
      <c r="P138" t="s">
        <v>182</v>
      </c>
      <c r="Q138" t="s">
        <v>597</v>
      </c>
    </row>
    <row r="139" spans="1:17" x14ac:dyDescent="0.25">
      <c r="A139" t="s">
        <v>129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 t="s">
        <v>598</v>
      </c>
      <c r="K139" t="s">
        <v>177</v>
      </c>
      <c r="L139" t="s">
        <v>178</v>
      </c>
      <c r="M139" t="s">
        <v>599</v>
      </c>
      <c r="N139" t="s">
        <v>180</v>
      </c>
      <c r="O139" t="s">
        <v>181</v>
      </c>
      <c r="P139" t="s">
        <v>182</v>
      </c>
      <c r="Q139" t="s">
        <v>600</v>
      </c>
    </row>
    <row r="140" spans="1:17" x14ac:dyDescent="0.25">
      <c r="A140" t="s">
        <v>130</v>
      </c>
      <c r="B140">
        <v>1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1</v>
      </c>
      <c r="J140" t="s">
        <v>601</v>
      </c>
      <c r="K140" t="s">
        <v>177</v>
      </c>
      <c r="L140" t="s">
        <v>178</v>
      </c>
      <c r="M140" t="s">
        <v>602</v>
      </c>
      <c r="N140" t="s">
        <v>180</v>
      </c>
      <c r="O140" t="s">
        <v>181</v>
      </c>
      <c r="P140" t="s">
        <v>182</v>
      </c>
      <c r="Q140" t="s">
        <v>603</v>
      </c>
    </row>
    <row r="141" spans="1:17" x14ac:dyDescent="0.25">
      <c r="A141" t="s">
        <v>131</v>
      </c>
      <c r="B141">
        <v>1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 t="s">
        <v>604</v>
      </c>
      <c r="K141" t="s">
        <v>177</v>
      </c>
      <c r="L141" t="s">
        <v>178</v>
      </c>
      <c r="M141" t="s">
        <v>605</v>
      </c>
      <c r="N141" t="s">
        <v>180</v>
      </c>
      <c r="O141" t="s">
        <v>181</v>
      </c>
      <c r="P141" t="s">
        <v>606</v>
      </c>
      <c r="Q141" t="s">
        <v>472</v>
      </c>
    </row>
    <row r="142" spans="1:17" x14ac:dyDescent="0.25">
      <c r="A142" t="s">
        <v>132</v>
      </c>
      <c r="B142">
        <v>1</v>
      </c>
      <c r="C142">
        <v>0</v>
      </c>
      <c r="D142">
        <v>1</v>
      </c>
      <c r="E142">
        <v>1</v>
      </c>
      <c r="F142">
        <v>0</v>
      </c>
      <c r="G142">
        <v>0</v>
      </c>
      <c r="H142">
        <v>1</v>
      </c>
      <c r="I142">
        <v>0</v>
      </c>
      <c r="J142" t="s">
        <v>607</v>
      </c>
      <c r="K142" t="s">
        <v>177</v>
      </c>
      <c r="L142" t="s">
        <v>608</v>
      </c>
      <c r="M142" t="s">
        <v>609</v>
      </c>
      <c r="N142" t="s">
        <v>180</v>
      </c>
      <c r="O142" t="s">
        <v>610</v>
      </c>
      <c r="P142" t="s">
        <v>611</v>
      </c>
      <c r="Q142" t="s">
        <v>472</v>
      </c>
    </row>
    <row r="143" spans="1:17" x14ac:dyDescent="0.25">
      <c r="A143" t="s">
        <v>133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 t="s">
        <v>312</v>
      </c>
      <c r="K143" t="s">
        <v>177</v>
      </c>
      <c r="L143" t="s">
        <v>178</v>
      </c>
      <c r="M143" t="s">
        <v>612</v>
      </c>
      <c r="N143" t="s">
        <v>180</v>
      </c>
      <c r="O143" t="s">
        <v>181</v>
      </c>
      <c r="P143" t="s">
        <v>182</v>
      </c>
      <c r="Q143" t="s">
        <v>472</v>
      </c>
    </row>
    <row r="144" spans="1:17" x14ac:dyDescent="0.25">
      <c r="A144" t="s">
        <v>134</v>
      </c>
      <c r="B144">
        <v>1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1</v>
      </c>
      <c r="J144" t="s">
        <v>613</v>
      </c>
      <c r="K144" t="s">
        <v>177</v>
      </c>
      <c r="L144" t="s">
        <v>178</v>
      </c>
      <c r="M144" t="s">
        <v>614</v>
      </c>
      <c r="N144" t="s">
        <v>180</v>
      </c>
      <c r="O144" t="s">
        <v>181</v>
      </c>
      <c r="P144" t="s">
        <v>182</v>
      </c>
      <c r="Q144" t="s">
        <v>615</v>
      </c>
    </row>
    <row r="145" spans="1:17" x14ac:dyDescent="0.25">
      <c r="A145" t="s">
        <v>135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616</v>
      </c>
      <c r="K145" t="s">
        <v>177</v>
      </c>
      <c r="L145" t="s">
        <v>178</v>
      </c>
      <c r="M145" t="s">
        <v>617</v>
      </c>
      <c r="N145" t="s">
        <v>180</v>
      </c>
      <c r="O145" t="s">
        <v>181</v>
      </c>
      <c r="P145" t="s">
        <v>182</v>
      </c>
      <c r="Q145" t="s">
        <v>472</v>
      </c>
    </row>
    <row r="146" spans="1:17" x14ac:dyDescent="0.25">
      <c r="A146" t="s">
        <v>136</v>
      </c>
      <c r="B146">
        <v>0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 t="s">
        <v>312</v>
      </c>
      <c r="K146" t="s">
        <v>618</v>
      </c>
      <c r="L146" t="s">
        <v>178</v>
      </c>
      <c r="M146" t="s">
        <v>619</v>
      </c>
      <c r="N146" t="s">
        <v>180</v>
      </c>
      <c r="O146" t="s">
        <v>181</v>
      </c>
      <c r="P146" t="s">
        <v>182</v>
      </c>
      <c r="Q146" t="s">
        <v>472</v>
      </c>
    </row>
    <row r="147" spans="1:17" x14ac:dyDescent="0.25">
      <c r="A147" t="s">
        <v>137</v>
      </c>
      <c r="B147">
        <v>1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 t="s">
        <v>620</v>
      </c>
      <c r="K147" t="s">
        <v>177</v>
      </c>
      <c r="L147" t="s">
        <v>178</v>
      </c>
      <c r="M147" t="s">
        <v>621</v>
      </c>
      <c r="N147" t="s">
        <v>180</v>
      </c>
      <c r="O147" t="s">
        <v>181</v>
      </c>
      <c r="P147" t="s">
        <v>182</v>
      </c>
      <c r="Q147" t="s">
        <v>472</v>
      </c>
    </row>
    <row r="148" spans="1:17" x14ac:dyDescent="0.25">
      <c r="A148" t="s">
        <v>138</v>
      </c>
      <c r="B148">
        <v>1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1</v>
      </c>
      <c r="J148" t="s">
        <v>622</v>
      </c>
      <c r="K148" t="s">
        <v>177</v>
      </c>
      <c r="L148" t="s">
        <v>623</v>
      </c>
      <c r="M148" t="s">
        <v>624</v>
      </c>
      <c r="N148" t="s">
        <v>180</v>
      </c>
      <c r="O148" t="s">
        <v>181</v>
      </c>
      <c r="P148" t="s">
        <v>625</v>
      </c>
      <c r="Q148" t="s">
        <v>626</v>
      </c>
    </row>
    <row r="149" spans="1:17" x14ac:dyDescent="0.25">
      <c r="A149" t="s">
        <v>139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 t="s">
        <v>312</v>
      </c>
      <c r="K149" t="s">
        <v>177</v>
      </c>
      <c r="L149" t="s">
        <v>627</v>
      </c>
      <c r="M149" t="s">
        <v>414</v>
      </c>
      <c r="N149" t="s">
        <v>180</v>
      </c>
      <c r="O149" t="s">
        <v>181</v>
      </c>
      <c r="P149" t="s">
        <v>182</v>
      </c>
      <c r="Q149" t="s">
        <v>472</v>
      </c>
    </row>
    <row r="150" spans="1:17" x14ac:dyDescent="0.25">
      <c r="A150" t="s">
        <v>140</v>
      </c>
      <c r="B150">
        <v>1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 t="s">
        <v>628</v>
      </c>
      <c r="K150" t="s">
        <v>177</v>
      </c>
      <c r="L150" t="s">
        <v>178</v>
      </c>
      <c r="M150" t="s">
        <v>629</v>
      </c>
      <c r="N150" t="s">
        <v>180</v>
      </c>
      <c r="O150" t="s">
        <v>181</v>
      </c>
      <c r="P150" t="s">
        <v>182</v>
      </c>
      <c r="Q150" t="s">
        <v>472</v>
      </c>
    </row>
    <row r="151" spans="1:17" x14ac:dyDescent="0.25">
      <c r="A151" t="s">
        <v>141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 t="s">
        <v>312</v>
      </c>
      <c r="K151" t="s">
        <v>177</v>
      </c>
      <c r="L151" t="s">
        <v>178</v>
      </c>
      <c r="M151" t="s">
        <v>630</v>
      </c>
      <c r="N151" t="s">
        <v>180</v>
      </c>
      <c r="O151" t="s">
        <v>181</v>
      </c>
      <c r="P151" t="s">
        <v>182</v>
      </c>
      <c r="Q151" t="s">
        <v>472</v>
      </c>
    </row>
    <row r="152" spans="1:17" x14ac:dyDescent="0.25">
      <c r="A152" t="s">
        <v>142</v>
      </c>
      <c r="B152">
        <v>1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1</v>
      </c>
      <c r="J152" t="s">
        <v>631</v>
      </c>
      <c r="K152" t="s">
        <v>177</v>
      </c>
      <c r="L152" t="s">
        <v>178</v>
      </c>
      <c r="M152" t="s">
        <v>632</v>
      </c>
      <c r="N152" t="s">
        <v>180</v>
      </c>
      <c r="O152" t="s">
        <v>181</v>
      </c>
      <c r="P152" t="s">
        <v>182</v>
      </c>
      <c r="Q152" t="s">
        <v>633</v>
      </c>
    </row>
    <row r="153" spans="1:17" x14ac:dyDescent="0.25">
      <c r="A153" t="s">
        <v>143</v>
      </c>
      <c r="B153">
        <v>1</v>
      </c>
      <c r="C153">
        <v>0</v>
      </c>
      <c r="D153">
        <v>0</v>
      </c>
      <c r="E153">
        <v>1</v>
      </c>
      <c r="F153">
        <v>0</v>
      </c>
      <c r="G153">
        <v>1</v>
      </c>
      <c r="H153">
        <v>0</v>
      </c>
      <c r="I153">
        <v>1</v>
      </c>
      <c r="J153" t="s">
        <v>634</v>
      </c>
      <c r="K153" t="s">
        <v>177</v>
      </c>
      <c r="L153" t="s">
        <v>178</v>
      </c>
      <c r="M153" t="s">
        <v>635</v>
      </c>
      <c r="N153" t="s">
        <v>180</v>
      </c>
      <c r="O153" t="s">
        <v>636</v>
      </c>
      <c r="P153" t="s">
        <v>182</v>
      </c>
      <c r="Q153" t="s">
        <v>637</v>
      </c>
    </row>
    <row r="154" spans="1:17" x14ac:dyDescent="0.25">
      <c r="A154" t="s">
        <v>144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 t="s">
        <v>312</v>
      </c>
      <c r="K154" t="s">
        <v>177</v>
      </c>
      <c r="L154" t="s">
        <v>178</v>
      </c>
      <c r="M154" t="s">
        <v>638</v>
      </c>
      <c r="N154" t="s">
        <v>180</v>
      </c>
      <c r="O154" t="s">
        <v>181</v>
      </c>
      <c r="P154" t="s">
        <v>182</v>
      </c>
      <c r="Q154" t="s">
        <v>639</v>
      </c>
    </row>
    <row r="155" spans="1:17" x14ac:dyDescent="0.25">
      <c r="A155" t="s">
        <v>145</v>
      </c>
      <c r="B155">
        <v>1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1</v>
      </c>
      <c r="J155" t="s">
        <v>640</v>
      </c>
      <c r="K155" t="s">
        <v>177</v>
      </c>
      <c r="L155" t="s">
        <v>178</v>
      </c>
      <c r="M155" t="s">
        <v>641</v>
      </c>
      <c r="N155" t="s">
        <v>180</v>
      </c>
      <c r="O155" t="s">
        <v>181</v>
      </c>
      <c r="P155" t="s">
        <v>182</v>
      </c>
      <c r="Q155" t="s">
        <v>642</v>
      </c>
    </row>
    <row r="156" spans="1:17" x14ac:dyDescent="0.25">
      <c r="A156" t="s">
        <v>146</v>
      </c>
      <c r="B156">
        <v>1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 t="s">
        <v>643</v>
      </c>
      <c r="K156" t="s">
        <v>644</v>
      </c>
      <c r="L156" t="s">
        <v>178</v>
      </c>
      <c r="M156" t="s">
        <v>645</v>
      </c>
      <c r="N156" t="s">
        <v>180</v>
      </c>
      <c r="O156" t="s">
        <v>181</v>
      </c>
      <c r="P156" t="s">
        <v>182</v>
      </c>
      <c r="Q156" t="s">
        <v>646</v>
      </c>
    </row>
    <row r="157" spans="1:17" x14ac:dyDescent="0.25">
      <c r="A157" t="s">
        <v>147</v>
      </c>
      <c r="B157">
        <v>1</v>
      </c>
      <c r="C157">
        <v>1</v>
      </c>
      <c r="D157">
        <v>0</v>
      </c>
      <c r="E157">
        <v>1</v>
      </c>
      <c r="F157">
        <v>1</v>
      </c>
      <c r="G157">
        <v>0</v>
      </c>
      <c r="H157">
        <v>1</v>
      </c>
      <c r="I157">
        <v>1</v>
      </c>
      <c r="J157" t="s">
        <v>647</v>
      </c>
      <c r="K157" t="s">
        <v>648</v>
      </c>
      <c r="L157" t="s">
        <v>623</v>
      </c>
      <c r="M157" t="s">
        <v>649</v>
      </c>
      <c r="N157" t="s">
        <v>648</v>
      </c>
      <c r="O157" t="s">
        <v>181</v>
      </c>
      <c r="P157" t="s">
        <v>650</v>
      </c>
      <c r="Q157" t="s">
        <v>651</v>
      </c>
    </row>
    <row r="158" spans="1:17" x14ac:dyDescent="0.25">
      <c r="A158" t="s">
        <v>148</v>
      </c>
      <c r="B158">
        <v>1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 t="s">
        <v>652</v>
      </c>
      <c r="K158" t="s">
        <v>177</v>
      </c>
      <c r="L158" t="s">
        <v>178</v>
      </c>
      <c r="M158" t="s">
        <v>653</v>
      </c>
      <c r="N158" t="s">
        <v>180</v>
      </c>
      <c r="O158" t="s">
        <v>181</v>
      </c>
      <c r="P158" t="s">
        <v>654</v>
      </c>
      <c r="Q158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 data</vt:lpstr>
      <vt:lpstr>segment and sectors</vt:lpstr>
      <vt:lpstr>sentiment data</vt:lpstr>
      <vt:lpstr>CDP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Santeri Isotalo</dc:creator>
  <cp:lastModifiedBy>Santeri Isotalo</cp:lastModifiedBy>
  <dcterms:created xsi:type="dcterms:W3CDTF">2015-06-05T18:17:20Z</dcterms:created>
  <dcterms:modified xsi:type="dcterms:W3CDTF">2026-05-03T16:33:07Z</dcterms:modified>
</cp:coreProperties>
</file>